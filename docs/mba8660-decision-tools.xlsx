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ow to use" sheetId="1" r:id="rId1"/>
    <sheet name="Week 1" sheetId="2" r:id="rId2"/>
    <sheet name="Week 2" sheetId="3" r:id="rId3"/>
    <sheet name="Week 3" sheetId="4" r:id="rId4"/>
    <sheet name="Week 4" sheetId="5" r:id="rId5"/>
    <sheet name="Week 5" sheetId="6" r:id="rId6"/>
    <sheet name="Week 6" sheetId="7" r:id="rId7"/>
    <sheet name="Week 7" sheetId="8" r:id="rId8"/>
    <sheet name="Week 8" sheetId="9" r:id="rId9"/>
    <sheet name="Week 9" sheetId="10" r:id="rId10"/>
    <sheet name="Week 10" sheetId="11" r:id="rId11"/>
    <sheet name="Week 11" sheetId="12" r:id="rId12"/>
    <sheet name="Week 12" sheetId="13" r:id="rId13"/>
    <sheet name="Rates" sheetId="14" r:id="rId14"/>
  </sheets>
  <calcPr calcId="0" fullCalcOnLoad="1"/>
</workbook>
</file>

<file path=xl/styles.xml><?xml version="1.0" encoding="utf-8"?>
<styleSheet xmlns="http://schemas.openxmlformats.org/spreadsheetml/2006/main">
  <numFmts count="4">
    <numFmt numFmtId="164" formatCode="#,##0.00"/>
    <numFmt numFmtId="165" formatCode="$#,##0"/>
    <numFmt numFmtId="166" formatCode="[&lt;1]$0.00000;$#,##0.00"/>
    <numFmt numFmtId="167" formatCode="yyyy\-mm\-dd"/>
  </numFmts>
  <fonts count="4">
    <font>
      <sz val="11"/>
      <name val="Calibri"/>
    </font>
    <font>
      <b/>
      <sz val="11"/>
      <name val="Calibri"/>
    </font>
    <font>
      <sz val="10"/>
      <color rgb="FF6B6B7B"/>
      <name val="Calibri"/>
    </font>
    <font>
      <b/>
      <sz val="14"/>
      <name val="Calibri"/>
    </font>
  </fonts>
  <fills count="3">
    <fill>
      <patternFill patternType="none"/>
    </fill>
    <fill>
      <patternFill patternType="gray125"/>
    </fill>
    <fill>
      <patternFill patternType="solid">
        <fgColor rgb="FFEDEAF5"/>
        <bgColor indexed="64"/>
      </patternFill>
    </fill>
  </fills>
  <borders count="1">
    <border>
      <left/>
      <right/>
      <top/>
      <bottom/>
      <diagonal/>
    </border>
  </borders>
  <cellStyleXfs count="1">
    <xf numFmtId="0" fontId="0" fillId="0" borderId="0"/>
  </cellStyleXfs>
  <cellXfs count="9">
    <xf numFmtId="0" fontId="0" fillId="0" borderId="0" applyNumberFormat="1" applyFont="1" applyFill="1"/>
    <xf numFmtId="0" fontId="3" fillId="0" borderId="0" applyNumberFormat="1" applyFont="1" applyFill="1"/>
    <xf numFmtId="0" fontId="1" fillId="2" borderId="0" applyNumberFormat="1" applyFont="1" applyFill="1"/>
    <xf numFmtId="0" fontId="2" fillId="0" borderId="0" applyNumberFormat="1" applyFont="1" applyFill="1"/>
    <xf numFmtId="164" fontId="0" fillId="0" borderId="0" applyNumberFormat="1" applyFont="1" applyFill="1"/>
    <xf numFmtId="165" fontId="0" fillId="0" borderId="0" applyNumberFormat="1" applyFont="1" applyFill="1"/>
    <xf numFmtId="166" fontId="0" fillId="0" borderId="0" applyNumberFormat="1" applyFont="1" applyFill="1"/>
    <xf numFmtId="167" fontId="0" fillId="0" borderId="0" applyNumberFormat="1" applyFont="1" applyFill="1"/>
    <xf numFmtId="0" fontId="1" fillId="0" borderId="0" applyNumberFormat="1" applyFont="1"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8" customWidth="1"/>
  </cols>
  <sheetData>
    <row r="1">
      <c r="A1" s="1" t="inlineStr">
        <is>
          <t xml:space="preserve">How to use this workbook</t>
        </is>
      </c>
    </row>
    <row r="2">
      <c r="A2" s="3" t="inlineStr">
        <is>
          <t xml:space="preserve">Generated 2026-09-12 from the MBA 8660 Decision Tools application.</t>
        </is>
      </c>
    </row>
    <row r="3">
      <c r="A3" s="0" t="inlineStr">
        <is>
          <t xml:space="preserve"/>
        </is>
      </c>
    </row>
    <row r="4">
      <c r="A4" s="8" t="inlineStr">
        <is>
          <t xml:space="preserve">One sheet per week</t>
        </is>
      </c>
    </row>
    <row r="5">
      <c r="A5" s="3" t="inlineStr">
        <is>
          <t xml:space="preserve">Each week sheet has three blocks. Inputs you supply, the rates and constants the arithmetic leans on, and the computed figures. Every computed cell holds a formula, and column D says what that formula means in words.</t>
        </is>
      </c>
    </row>
    <row r="6">
      <c r="A6" s="0" t="inlineStr">
        <is>
          <t xml:space="preserve"/>
        </is>
      </c>
    </row>
    <row r="7">
      <c r="A7" s="8" t="inlineStr">
        <is>
          <t xml:space="preserve">Change an input, not a result</t>
        </is>
      </c>
    </row>
    <row r="8">
      <c r="A8" s="3" t="inlineStr">
        <is>
          <t xml:space="preserve">Type over any cell in the Inputs block and the sheet recalculates. If you overwrite a computed cell you have replaced the model with a number, which is the one thing the assignment asks you not to do.</t>
        </is>
      </c>
    </row>
    <row r="9">
      <c r="A9" s="0" t="inlineStr">
        <is>
          <t xml:space="preserve"/>
        </is>
      </c>
    </row>
    <row r="10">
      <c r="A10" s="8" t="inlineStr">
        <is>
          <t xml:space="preserve">Prices live on the Rates sheet</t>
        </is>
      </c>
    </row>
    <row r="11">
      <c r="A11" s="3" t="inlineStr">
        <is>
          <t xml:space="preserve">Published list prices are held once, on the Rates sheet, and every week that uses a price refers to it there. Change a price on that sheet and each week that depends on it follows. Each price carries the vendor, the unit, the date it was retrieved, and its source.</t>
        </is>
      </c>
    </row>
    <row r="12">
      <c r="A12" s="0" t="inlineStr">
        <is>
          <t xml:space="preserve"/>
        </is>
      </c>
    </row>
    <row r="13">
      <c r="A13" s="8" t="inlineStr">
        <is>
          <t xml:space="preserve">This workbook computes. It does not recommend.</t>
        </is>
      </c>
    </row>
    <row r="14">
      <c r="A14" s="3" t="inlineStr">
        <is>
          <t xml:space="preserve">The figures here are arithmetic over assumptions you supplied. They do not choose an architecture, an operating model, or a compliance path, and no amount of recalculating will make them do so. The judgments each week refuses to make are listed in the application, and you are expected to answer them in writing.</t>
        </is>
      </c>
    </row>
    <row r="15">
      <c r="A15" s="0" t="inlineStr">
        <is>
          <t xml:space="preserve"/>
        </is>
      </c>
    </row>
    <row r="16">
      <c r="A16" s="8" t="inlineStr">
        <is>
          <t xml:space="preserve">Every figure is reproducible</t>
        </is>
      </c>
    </row>
    <row r="17">
      <c r="A17" s="3" t="inlineStr">
        <is>
          <t xml:space="preserve">The application shows the same equations beside the week picker, with the cell each one occupies here. If a number in the application and a number in this workbook ever disagree, that is a defect. The test suite checks all twelve weeks against each other on every commit.</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1: Working Set Sizing and Cost</t>
        </is>
      </c>
    </row>
    <row r="2">
      <c r="A2" s="3" t="inlineStr">
        <is>
          <t xml:space="preserve">Does this workload need a distributed system? Recommend yes or no, and show the sizing arithmetic and the dollar figures that support your answer.</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Row count</t>
        </is>
      </c>
      <c r="B6" s="4">
        <v>4200000000</v>
      </c>
      <c r="C6" s="0" t="inlineStr">
        <is>
          <t xml:space="preserve">rows</t>
        </is>
      </c>
      <c r="D6" s="3" t="inlineStr">
        <is>
          <t xml:space="preserve">The largest single table you must query.</t>
        </is>
      </c>
    </row>
    <row r="7">
      <c r="A7" s="0" t="inlineStr">
        <is>
          <t xml:space="preserve">Bytes per row</t>
        </is>
      </c>
      <c r="B7" s="4">
        <v>310</v>
      </c>
      <c r="C7" s="0" t="inlineStr">
        <is>
          <t xml:space="preserve">bytes</t>
        </is>
      </c>
      <c r="D7" s="3" t="inlineStr">
        <is>
          <t xml:space="preserve">Uncompressed average across every column.</t>
        </is>
      </c>
    </row>
    <row r="8">
      <c r="A8" s="0" t="inlineStr">
        <is>
          <t xml:space="preserve">Compression ratio</t>
        </is>
      </c>
      <c r="B8" s="4">
        <v>4</v>
      </c>
      <c r="C8" s="0" t="inlineStr">
        <is>
          <t xml:space="preserve">x</t>
        </is>
      </c>
      <c r="D8" s="3" t="inlineStr">
        <is>
          <t xml:space="preserve">How many times smaller the data gets on disk. Yours is a measurement, not a constant.</t>
        </is>
      </c>
    </row>
    <row r="9">
      <c r="A9" s="0" t="inlineStr">
        <is>
          <t xml:space="preserve">Fraction scanned per query</t>
        </is>
      </c>
      <c r="B9" s="4">
        <v>0.08</v>
      </c>
      <c r="C9" s="0" t="inlineStr">
        <is>
          <t xml:space="preserve">0.01 to 1</t>
        </is>
      </c>
      <c r="D9" s="3" t="inlineStr">
        <is>
          <t xml:space="preserve">What a typical query touches after partition pruning.</t>
        </is>
      </c>
    </row>
    <row r="10">
      <c r="A10" s="0" t="inlineStr">
        <is>
          <t xml:space="preserve">Annual growth</t>
        </is>
      </c>
      <c r="B10" s="4">
        <v>22</v>
      </c>
      <c r="C10" s="0" t="inlineStr">
        <is>
          <t xml:space="preserve">percent</t>
        </is>
      </c>
      <c r="D10" s="3" t="inlineStr">
        <is>
          <t xml:space="preserve">Compounded over three years.</t>
        </is>
      </c>
    </row>
    <row r="11">
      <c r="A11" s="0" t="inlineStr">
        <is>
          <t xml:space="preserve">Peak concurrent queries</t>
        </is>
      </c>
      <c r="B11" s="4">
        <v>14</v>
      </c>
      <c r="C11" s="0" t="inlineStr">
        <is>
          <t xml:space="preserve">queries</t>
        </is>
      </c>
      <c r="D11" s="3" t="inlineStr">
        <is>
          <t xml:space="preserve">Simultaneous queries at the busiest moment.</t>
        </is>
      </c>
    </row>
    <row r="12">
      <c r="A12" s="0" t="inlineStr">
        <is>
          <t xml:space="preserve">Queries per day</t>
        </is>
      </c>
      <c r="B12" s="4">
        <v>900</v>
      </c>
      <c r="C12" s="0" t="inlineStr">
        <is>
          <t xml:space="preserve">queries</t>
        </is>
      </c>
      <c r="D12" s="3" t="inlineStr">
        <is>
          <t xml:space="preserve">Total daily query volume.</t>
        </is>
      </c>
    </row>
    <row r="13">
      <c r="A13" s="0" t="inlineStr">
        <is>
          <t xml:space="preserve">Compute hours per day</t>
        </is>
      </c>
      <c r="B13" s="4">
        <v>12</v>
      </c>
      <c r="C13" s="0" t="inlineStr">
        <is>
          <t xml:space="preserve">hours</t>
        </is>
      </c>
      <c r="D13" s="3" t="inlineStr">
        <is>
          <t xml:space="preserve">Hours the engine is actually running.</t>
        </is>
      </c>
    </row>
    <row r="15">
      <c r="A15" s="2" t="inlineStr">
        <is>
          <t xml:space="preserve">RATES AND CONSTANTS</t>
        </is>
      </c>
      <c r="E15" s="3" t="inlineStr">
        <is>
          <t xml:space="preserve">Published list prices link to the Rates sheet. Change a price there and every week that uses it follows.</t>
        </is>
      </c>
    </row>
    <row r="16">
      <c r="A16" s="8" t="inlineStr">
        <is>
          <t xml:space="preserve">Item</t>
        </is>
      </c>
      <c r="B16" s="8" t="inlineStr">
        <is>
          <t xml:space="preserve">Value</t>
        </is>
      </c>
      <c r="C16" s="8" t="inlineStr">
        <is>
          <t xml:space="preserve">Unit</t>
        </is>
      </c>
      <c r="D16" s="8" t="inlineStr">
        <is>
          <t xml:space="preserve">Source and note</t>
        </is>
      </c>
    </row>
    <row r="17">
      <c r="A17" s="0" t="inlineStr">
        <is>
          <t xml:space="preserve">Bytes per GiB</t>
        </is>
      </c>
      <c r="B17" s="4">
        <v>1073741824</v>
      </c>
      <c r="C17" s="0" t="inlineStr">
        <is>
          <t xml:space="preserve">bytes</t>
        </is>
      </c>
      <c r="D17" s="3" t="inlineStr">
        <is>
          <t xml:space="preserve">1,024 cubed. Not one billion, which is where a seven percent error comes from.</t>
        </is>
      </c>
    </row>
    <row r="18">
      <c r="A18" s="0" t="inlineStr">
        <is>
          <t xml:space="preserve">GB per GiB</t>
        </is>
      </c>
      <c r="B18" s="4">
        <v>1.073741824</v>
      </c>
      <c r="C18" s="0" t="inlineStr">
        <is>
          <t xml:space="preserve">GB</t>
        </is>
      </c>
      <c r="D18" s="3" t="inlineStr">
        <is>
          <t xml:space="preserve">Memory is sized in GiB and storage is billed in GB. Convert before pricing anything.</t>
        </is>
      </c>
    </row>
    <row r="19">
      <c r="A19" s="0" t="inlineStr">
        <is>
          <t xml:space="preserve">Single-node memory ceiling</t>
        </is>
      </c>
      <c r="B19" s="4">
        <v>512</v>
      </c>
      <c r="C19" s="0" t="inlineStr">
        <is>
          <t xml:space="preserve">GiB</t>
        </is>
      </c>
      <c r="D19" s="3" t="inlineStr">
        <is>
          <t xml:space="preserve">RAM in the largest single machine this model assumes you can rent.</t>
        </is>
      </c>
    </row>
    <row r="20">
      <c r="A20" s="0" t="inlineStr">
        <is>
          <t xml:space="preserve">Memory per cluster worker</t>
        </is>
      </c>
      <c r="B20" s="4">
        <v>128</v>
      </c>
      <c r="C20" s="0" t="inlineStr">
        <is>
          <t xml:space="preserve">GiB</t>
        </is>
      </c>
      <c r="D20" s="3" t="inlineStr">
        <is>
          <t xml:space="preserve">RAM in one worker of the distributed cluster.</t>
        </is>
      </c>
    </row>
    <row r="21">
      <c r="A21" s="0" t="inlineStr">
        <is>
          <t xml:space="preserve">Days per month</t>
        </is>
      </c>
      <c r="B21" s="4">
        <v>30.42</v>
      </c>
      <c r="C21" s="0" t="inlineStr">
        <is>
          <t xml:space="preserve">days</t>
        </is>
      </c>
      <c r="D21" s="3" t="inlineStr">
        <is>
          <t xml:space="preserve">Average month, used to turn a daily figure into a monthly bill.</t>
        </is>
      </c>
    </row>
    <row r="22">
      <c r="A22" s="0" t="inlineStr">
        <is>
          <t xml:space="preserve">Days per year</t>
        </is>
      </c>
      <c r="B22" s="4">
        <v>365</v>
      </c>
      <c r="C22" s="0" t="inlineStr">
        <is>
          <t xml:space="preserve">days</t>
        </is>
      </c>
      <c r="D22" s="3" t="inlineStr">
        <is>
          <t xml:space="preserve"/>
        </is>
      </c>
    </row>
    <row r="23">
      <c r="A23" s="0" t="inlineStr">
        <is>
          <t xml:space="preserve">Months per year</t>
        </is>
      </c>
      <c r="B23" s="4">
        <v>12</v>
      </c>
      <c r="C23" s="0" t="inlineStr">
        <is>
          <t xml:space="preserve">months</t>
        </is>
      </c>
      <c r="D23" s="3" t="inlineStr">
        <is>
          <t xml:space="preserve"/>
        </is>
      </c>
    </row>
    <row r="24">
      <c r="A24" s="0" t="inlineStr">
        <is>
          <t xml:space="preserve">GB per TB</t>
        </is>
      </c>
      <c r="B24" s="4">
        <v>1000</v>
      </c>
      <c r="C24" s="0" t="inlineStr">
        <is>
          <t xml:space="preserve">GB</t>
        </is>
      </c>
      <c r="D24" s="3" t="inlineStr">
        <is>
          <t xml:space="preserve">Scan pricing is per decimal TB.</t>
        </is>
      </c>
    </row>
    <row r="25">
      <c r="A25" s="0" t="inlineStr">
        <is>
          <t xml:space="preserve">Minimum workers in a cluster</t>
        </is>
      </c>
      <c r="B25" s="4">
        <v>2</v>
      </c>
      <c r="C25" s="0" t="inlineStr">
        <is>
          <t xml:space="preserve">nodes</t>
        </is>
      </c>
      <c r="D25" s="3" t="inlineStr">
        <is>
          <t xml:space="preserve">One worker is not a distributed system.</t>
        </is>
      </c>
    </row>
    <row r="26">
      <c r="A26" s="0" t="inlineStr">
        <is>
          <t xml:space="preserve">Cross-zone transfer directions billed</t>
        </is>
      </c>
      <c r="B26" s="4">
        <v>2</v>
      </c>
      <c r="C26" s="0" t="inlineStr">
        <is>
          <t xml:space="preserve">directions</t>
        </is>
      </c>
      <c r="D26" s="3" t="inlineStr">
        <is>
          <t xml:space="preserve">A byte sent between zones is billed leaving and arriving.</t>
        </is>
      </c>
    </row>
    <row r="27">
      <c r="A27" s="0" t="inlineStr">
        <is>
          <t xml:space="preserve">Object storage price</t>
        </is>
      </c>
      <c r="B27" s="6">
        <f>Rates!$C$5</f>
        <v>0.023</v>
      </c>
      <c r="C27" s="0" t="inlineStr">
        <is>
          <t xml:space="preserve">per GB-month</t>
        </is>
      </c>
      <c r="D27" s="3" t="inlineStr">
        <is>
          <t xml:space="preserve">Amazon Web Services, S3 Standard, first 50 TB per month, us-east-1. List price retrieved 2026-08-15. The default landing tier for a lakehouse. Billed on average bytes stored across the month, not peak.</t>
        </is>
      </c>
    </row>
    <row r="28">
      <c r="A28" s="0" t="inlineStr">
        <is>
          <t xml:space="preserve">Scan price</t>
        </is>
      </c>
      <c r="B28" s="6">
        <f>Rates!$C$14</f>
        <v>5</v>
      </c>
      <c r="C28" s="0" t="inlineStr">
        <is>
          <t xml:space="preserve">per TB scanned</t>
        </is>
      </c>
      <c r="D28" s="3" t="inlineStr">
        <is>
          <t xml:space="preserve">Amazon Web Services, Athena, SQL over data in S3. List price retrieved 2026-08-15. You pay for bytes the engine reads, not rows returned. Compression and partitioning cut this bill directly.</t>
        </is>
      </c>
    </row>
    <row r="29">
      <c r="A29" s="0" t="inlineStr">
        <is>
          <t xml:space="preserve">Single-node compute price</t>
        </is>
      </c>
      <c r="B29" s="6">
        <f>Rates!$C$12</f>
        <v>4.032</v>
      </c>
      <c r="C29" s="0" t="inlineStr">
        <is>
          <t xml:space="preserve">per node-hour</t>
        </is>
      </c>
      <c r="D29" s="3" t="inlineStr">
        <is>
          <t xml:space="preserve">Amazon Web Services, EC2 r5.16xlarge on-demand, 64 vCPU and 512 GiB RAM, us-east-1, Linux. List price retrieved 2026-08-15. The single-node ceiling used throughout Week 1. 512 GiB of RAM in one machine, one address space, no network hop.</t>
        </is>
      </c>
    </row>
    <row r="30">
      <c r="A30" s="0" t="inlineStr">
        <is>
          <t xml:space="preserve">Worker node compute price</t>
        </is>
      </c>
      <c r="B30" s="6">
        <f>Rates!$C$13</f>
        <v>1.008</v>
      </c>
      <c r="C30" s="0" t="inlineStr">
        <is>
          <t xml:space="preserve">per node-hour</t>
        </is>
      </c>
      <c r="D30" s="3" t="inlineStr">
        <is>
          <t xml:space="preserve">Amazon Web Services, EC2 r5.4xlarge on-demand, 16 vCPU and 128 GiB RAM, us-east-1, Linux. List price retrieved 2026-08-15. One worker in a distributed cluster. Exactly one quarter the RAM and one quarter the price of the single node above.</t>
        </is>
      </c>
    </row>
    <row r="31">
      <c r="A31" s="0" t="inlineStr">
        <is>
          <t xml:space="preserve">Cross-zone transfer price</t>
        </is>
      </c>
      <c r="B31" s="6">
        <f>Rates!$C$21</f>
        <v>0.01</v>
      </c>
      <c r="C31" s="0" t="inlineStr">
        <is>
          <t xml:space="preserve">per GB</t>
        </is>
      </c>
      <c r="D31" s="3" t="inlineStr">
        <is>
          <t xml:space="preserve">Amazon Web Services, Data transfer between availability zones, each direction. List price retrieved 2026-08-15. The hidden tax on a distributed shuffle. Every byte a worker sends to another worker across a zone is billed twice.</t>
        </is>
      </c>
    </row>
    <row r="33">
      <c r="A33" s="2" t="inlineStr">
        <is>
          <t xml:space="preserve">COMPUTED</t>
        </is>
      </c>
      <c r="E33" s="3" t="inlineStr">
        <is>
          <t xml:space="preserve">Each cell holds the formula shown in column D. Nothing here is typed in by hand.</t>
        </is>
      </c>
    </row>
    <row r="34">
      <c r="A34" s="8" t="inlineStr">
        <is>
          <t xml:space="preserve">Figure</t>
        </is>
      </c>
      <c r="B34" s="8" t="inlineStr">
        <is>
          <t xml:space="preserve">Value</t>
        </is>
      </c>
      <c r="C34" s="8" t="inlineStr">
        <is>
          <t xml:space="preserve">Unit</t>
        </is>
      </c>
      <c r="D34" s="8" t="inlineStr">
        <is>
          <t xml:space="preserve">Equation in words</t>
        </is>
      </c>
      <c r="E34" s="8" t="inlineStr">
        <is>
          <t xml:space="preserve">Note</t>
        </is>
      </c>
    </row>
    <row r="35">
      <c r="A35" s="0" t="inlineStr">
        <is>
          <t xml:space="preserve">Raw uncompressed size</t>
        </is>
      </c>
      <c r="B35" s="4">
        <f>$B$6*$B$7/$B$17</f>
        <v>1212.581992149353</v>
      </c>
      <c r="C35" s="0" t="inlineStr">
        <is>
          <t xml:space="preserve">GiB</t>
        </is>
      </c>
      <c r="D35" s="3" t="inlineStr">
        <is>
          <t xml:space="preserve">Row count × Bytes per row ÷ Bytes per GiB</t>
        </is>
      </c>
      <c r="E35" s="3" t="inlineStr">
        <is>
          <t xml:space="preserve">Rows times bytes per row. The number nobody ever actually stores.</t>
        </is>
      </c>
    </row>
    <row r="36">
      <c r="A36" s="0" t="inlineStr">
        <is>
          <t xml:space="preserve">Columnar estimate</t>
        </is>
      </c>
      <c r="B36" s="4">
        <f>$B$35/$B$8</f>
        <v>303.14549803733826</v>
      </c>
      <c r="C36" s="0" t="inlineStr">
        <is>
          <t xml:space="preserve">GiB</t>
        </is>
      </c>
      <c r="D36" s="3" t="inlineStr">
        <is>
          <t xml:space="preserve">Raw uncompressed size ÷ Compression ratio</t>
        </is>
      </c>
      <c r="E36" s="3" t="inlineStr">
        <is>
          <t xml:space="preserve">What the bytes occupy once written as compressed columnar files.</t>
        </is>
      </c>
    </row>
    <row r="37">
      <c r="A37" s="0" t="inlineStr">
        <is>
          <t xml:space="preserve">Bytes removed by compression</t>
        </is>
      </c>
      <c r="B37" s="4">
        <f>$B$35-$B$36</f>
        <v>909.4364941120148</v>
      </c>
      <c r="C37" s="0" t="inlineStr">
        <is>
          <t xml:space="preserve">GiB</t>
        </is>
      </c>
      <c r="D37" s="3" t="inlineStr">
        <is>
          <t xml:space="preserve">Raw uncompressed size - Columnar estimate</t>
        </is>
      </c>
      <c r="E37" s="3" t="inlineStr">
        <is>
          <t xml:space="preserve">Storage you do not rent and bytes you do not scan. Billed twice over.</t>
        </is>
      </c>
    </row>
    <row r="38">
      <c r="A38" s="0" t="inlineStr">
        <is>
          <t xml:space="preserve">Working set per query</t>
        </is>
      </c>
      <c r="B38" s="4">
        <f>$B$36*$B$9</f>
        <v>24.25163984298706</v>
      </c>
      <c r="C38" s="0" t="inlineStr">
        <is>
          <t xml:space="preserve">GiB</t>
        </is>
      </c>
      <c r="D38" s="3" t="inlineStr">
        <is>
          <t xml:space="preserve">Columnar estimate × Fraction scanned per query</t>
        </is>
      </c>
      <c r="E38" s="3" t="inlineStr">
        <is>
          <t xml:space="preserve">This, not table size, is what has to fit in memory.</t>
        </is>
      </c>
    </row>
    <row r="39">
      <c r="A39" s="0" t="inlineStr">
        <is>
          <t xml:space="preserve">Working set at peak concurrency</t>
        </is>
      </c>
      <c r="B39" s="4">
        <f>$B$38*$B$11</f>
        <v>339.52295780181885</v>
      </c>
      <c r="C39" s="0" t="inlineStr">
        <is>
          <t xml:space="preserve">GiB</t>
        </is>
      </c>
      <c r="D39" s="3" t="inlineStr">
        <is>
          <t xml:space="preserve">Working set per query × Peak concurrent queries</t>
        </is>
      </c>
      <c r="E39" s="3" t="inlineStr">
        <is>
          <t xml:space="preserve">Every simultaneous query holds its own working set.</t>
        </is>
      </c>
    </row>
    <row r="40">
      <c r="A40" s="0" t="inlineStr">
        <is>
          <t xml:space="preserve">Working set in year three</t>
        </is>
      </c>
      <c r="B40" s="4">
        <f>$B$39*(1+$B$10/100)^3</f>
        <v>616.5220838785172</v>
      </c>
      <c r="C40" s="0" t="inlineStr">
        <is>
          <t xml:space="preserve">GiB</t>
        </is>
      </c>
      <c r="D40" s="3" t="inlineStr">
        <is>
          <t xml:space="preserve">Working set at peak concurrency × (1 + Annual growth ÷ 100) ^ 3</t>
        </is>
      </c>
      <c r="E40" s="3" t="inlineStr">
        <is>
          <t xml:space="preserve">Architecture is chosen for this figure, not today's.</t>
        </is>
      </c>
    </row>
    <row r="41">
      <c r="A41" s="0" t="inlineStr">
        <is>
          <t xml:space="preserve">Headroom against the single node</t>
        </is>
      </c>
      <c r="B41" s="4">
        <f>$B$19/$B$40</f>
        <v>0.8304649799063601</v>
      </c>
      <c r="C41" s="0" t="inlineStr">
        <is>
          <t xml:space="preserve">x</t>
        </is>
      </c>
      <c r="D41" s="3" t="inlineStr">
        <is>
          <t xml:space="preserve">Single-node memory ceiling ÷ Working set in year three</t>
        </is>
      </c>
      <c r="E41" s="3" t="inlineStr">
        <is>
          <t xml:space="preserve">Above 1.0 the workload still fits on one machine in year three.</t>
        </is>
      </c>
    </row>
    <row r="42">
      <c r="A42" s="0" t="inlineStr">
        <is>
          <t xml:space="preserve">Storage, compressed, per month</t>
        </is>
      </c>
      <c r="B42" s="5">
        <f>$B$36*$B$18*$B$27</f>
        <v>7.4864999999999995</v>
      </c>
      <c r="C42" s="0" t="inlineStr">
        <is>
          <t xml:space="preserve">USD per month</t>
        </is>
      </c>
      <c r="D42" s="3" t="inlineStr">
        <is>
          <t xml:space="preserve">Columnar estimate × GB per GiB × Object storage price</t>
        </is>
      </c>
      <c r="E42" s="3" t="inlineStr">
        <is>
          <t xml:space="preserve"/>
        </is>
      </c>
    </row>
    <row r="43">
      <c r="A43" s="0" t="inlineStr">
        <is>
          <t xml:space="preserve">Storage, uncompressed, per month</t>
        </is>
      </c>
      <c r="B43" s="5">
        <f>$B$35*$B$18*$B$27</f>
        <v>29.945999999999998</v>
      </c>
      <c r="C43" s="0" t="inlineStr">
        <is>
          <t xml:space="preserve">USD per month</t>
        </is>
      </c>
      <c r="D43" s="3" t="inlineStr">
        <is>
          <t xml:space="preserve">Raw uncompressed size × GB per GiB × Object storage price</t>
        </is>
      </c>
      <c r="E43" s="3" t="inlineStr">
        <is>
          <t xml:space="preserve">What the same data would cost stored raw.</t>
        </is>
      </c>
    </row>
    <row r="44">
      <c r="A44" s="0" t="inlineStr">
        <is>
          <t xml:space="preserve">TB scanned per query</t>
        </is>
      </c>
      <c r="B44" s="4">
        <f>$B$38*$B$18/$B$24</f>
        <v>0.026040000000000004</v>
      </c>
      <c r="C44" s="0" t="inlineStr">
        <is>
          <t xml:space="preserve">TB</t>
        </is>
      </c>
      <c r="D44" s="3" t="inlineStr">
        <is>
          <t xml:space="preserve">Working set per query × GB per GiB ÷ GB per TB</t>
        </is>
      </c>
      <c r="E44" s="3" t="inlineStr">
        <is>
          <t xml:space="preserve">Working set converted from GiB to the decimal TB scan pricing uses.</t>
        </is>
      </c>
    </row>
    <row r="45">
      <c r="A45" s="0" t="inlineStr">
        <is>
          <t xml:space="preserve">Cost of one query</t>
        </is>
      </c>
      <c r="B45" s="6">
        <f>$B$44*$B$28</f>
        <v>0.1302</v>
      </c>
      <c r="C45" s="0" t="inlineStr">
        <is>
          <t xml:space="preserve">USD</t>
        </is>
      </c>
      <c r="D45" s="3" t="inlineStr">
        <is>
          <t xml:space="preserve">TB scanned per query × Scan price</t>
        </is>
      </c>
      <c r="E45" s="3" t="inlineStr">
        <is>
          <t xml:space="preserve">You pay for bytes read, not rows returned.</t>
        </is>
      </c>
    </row>
    <row r="46">
      <c r="A46" s="0" t="inlineStr">
        <is>
          <t xml:space="preserve">Query spend per year</t>
        </is>
      </c>
      <c r="B46" s="5">
        <f>$B$45*$B$12*$B$22</f>
        <v>42770.700000000004</v>
      </c>
      <c r="C46" s="0" t="inlineStr">
        <is>
          <t xml:space="preserve">USD per year</t>
        </is>
      </c>
      <c r="D46" s="3" t="inlineStr">
        <is>
          <t xml:space="preserve">Cost of one query × Queries per day × Days per year</t>
        </is>
      </c>
      <c r="E46" s="3" t="inlineStr">
        <is>
          <t xml:space="preserve"/>
        </is>
      </c>
    </row>
    <row r="47">
      <c r="A47" s="0" t="inlineStr">
        <is>
          <t xml:space="preserve">Query spend per year if uncompressed</t>
        </is>
      </c>
      <c r="B47" s="5">
        <f>$B$38*($B$35/$B$36)*$B$18/$B$24*$B$28*$B$12*$B$22</f>
        <v>171082.80000000002</v>
      </c>
      <c r="C47" s="0" t="inlineStr">
        <is>
          <t xml:space="preserve">USD per year</t>
        </is>
      </c>
      <c r="D47" s="3" t="inlineStr">
        <is>
          <t xml:space="preserve">Working set per query × (Raw uncompressed size ÷ Columnar estimate) × GB per GiB ÷ GB per TB × Scan price × Queries per day × Days per year</t>
        </is>
      </c>
      <c r="E47" s="3" t="inlineStr">
        <is>
          <t xml:space="preserve">The same queries against uncompressed data.</t>
        </is>
      </c>
    </row>
    <row r="48">
      <c r="A48" s="0" t="inlineStr">
        <is>
          <t xml:space="preserve">Single-node compute per month</t>
        </is>
      </c>
      <c r="B48" s="5">
        <f>$B$29*$B$13*$B$21</f>
        <v>1471.84128</v>
      </c>
      <c r="C48" s="0" t="inlineStr">
        <is>
          <t xml:space="preserve">USD per month</t>
        </is>
      </c>
      <c r="D48" s="3" t="inlineStr">
        <is>
          <t xml:space="preserve">Single-node compute price × Compute hours per day × Days per month</t>
        </is>
      </c>
      <c r="E48" s="3" t="inlineStr">
        <is>
          <t xml:space="preserve"/>
        </is>
      </c>
    </row>
    <row r="49">
      <c r="A49" s="0" t="inlineStr">
        <is>
          <t xml:space="preserve">Workers a distributed cluster needs</t>
        </is>
      </c>
      <c r="B49" s="4">
        <f>MAX($B$25,CEILING($B$40/$B$20,1))</f>
        <v>5</v>
      </c>
      <c r="C49" s="0" t="inlineStr">
        <is>
          <t xml:space="preserve">nodes</t>
        </is>
      </c>
      <c r="D49" s="3" t="inlineStr">
        <is>
          <t xml:space="preserve">MAX(Minimum workers in a cluster,CEILING(Working set in year three ÷ Memory per cluster worker,1))</t>
        </is>
      </c>
      <c r="E49" s="3" t="inlineStr">
        <is>
          <t xml:space="preserve">Year-three working set divided by memory per worker, with a floor of two.</t>
        </is>
      </c>
    </row>
    <row r="50">
      <c r="A50" s="0" t="inlineStr">
        <is>
          <t xml:space="preserve">Distributed compute per month</t>
        </is>
      </c>
      <c r="B50" s="5">
        <f>$B$30*$B$49*$B$13*$B$21</f>
        <v>1839.8016000000002</v>
      </c>
      <c r="C50" s="0" t="inlineStr">
        <is>
          <t xml:space="preserve">USD per month</t>
        </is>
      </c>
      <c r="D50" s="3" t="inlineStr">
        <is>
          <t xml:space="preserve">Worker node compute price × Workers a distributed cluster needs × Compute hours per day × Days per month</t>
        </is>
      </c>
      <c r="E50" s="3" t="inlineStr">
        <is>
          <t xml:space="preserve"/>
        </is>
      </c>
    </row>
    <row r="51">
      <c r="A51" s="0" t="inlineStr">
        <is>
          <t xml:space="preserve">Bytes shuffled per query</t>
        </is>
      </c>
      <c r="B51" s="4">
        <f>$B$38*$B$18*(($B$49-1)/$B$49)</f>
        <v>20.832000000000004</v>
      </c>
      <c r="C51" s="0" t="inlineStr">
        <is>
          <t xml:space="preserve">GB</t>
        </is>
      </c>
      <c r="D51" s="3" t="inlineStr">
        <is>
          <t xml:space="preserve">Working set per query × GB per GiB × ((Workers a distributed cluster needs - 1) ÷ Workers a distributed cluster needs)</t>
        </is>
      </c>
      <c r="E51" s="3" t="inlineStr">
        <is>
          <t xml:space="preserve">The share of a working set that has to cross the network between workers.</t>
        </is>
      </c>
    </row>
    <row r="52">
      <c r="A52" s="0" t="inlineStr">
        <is>
          <t xml:space="preserve">Shuffle network per year</t>
        </is>
      </c>
      <c r="B52" s="5">
        <f>$B$51*$B$31*$B$26*$B$12*$B$22</f>
        <v>136866.24000000005</v>
      </c>
      <c r="C52" s="0" t="inlineStr">
        <is>
          <t xml:space="preserve">USD per year</t>
        </is>
      </c>
      <c r="D52" s="3" t="inlineStr">
        <is>
          <t xml:space="preserve">Bytes shuffled per query × Cross-zone transfer price × Cross-zone transfer directions billed × Queries per day × Days per year</t>
        </is>
      </c>
      <c r="E52" s="3" t="inlineStr">
        <is>
          <t xml:space="preserve">This charge exists only on the distributed path.</t>
        </is>
      </c>
    </row>
    <row r="53">
      <c r="A53" s="0" t="inlineStr">
        <is>
          <t xml:space="preserve">Annual total, single-node path</t>
        </is>
      </c>
      <c r="B53" s="5">
        <f>$B$48*$B$23+$B$46+$B$42*$B$23</f>
        <v>60522.63336000001</v>
      </c>
      <c r="C53" s="0" t="inlineStr">
        <is>
          <t xml:space="preserve">USD per year</t>
        </is>
      </c>
      <c r="D53" s="3" t="inlineStr">
        <is>
          <t xml:space="preserve">Single-node compute per month × Months per year + Query spend per year + Storage, compressed, per month × Months per year</t>
        </is>
      </c>
      <c r="E53" s="3" t="inlineStr">
        <is>
          <t xml:space="preserve"/>
        </is>
      </c>
    </row>
    <row r="54">
      <c r="A54" s="0" t="inlineStr">
        <is>
          <t xml:space="preserve">Annual total, distributed path</t>
        </is>
      </c>
      <c r="B54" s="5">
        <f>$B$50*$B$23+$B$46+$B$52+$B$42*$B$23</f>
        <v>201804.39720000004</v>
      </c>
      <c r="C54" s="0" t="inlineStr">
        <is>
          <t xml:space="preserve">USD per year</t>
        </is>
      </c>
      <c r="D54" s="3" t="inlineStr">
        <is>
          <t xml:space="preserve">Distributed compute per month × Months per year + Query spend per year + Shuffle network per year + Storage, compressed, per month × Months per year</t>
        </is>
      </c>
      <c r="E54" s="3" t="inlineStr">
        <is>
          <t xml:space="preserve"/>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2: Table Format Lock-In and Exit Cost</t>
        </is>
      </c>
    </row>
    <row r="2">
      <c r="A2" s="3" t="inlineStr">
        <is>
          <t xml:space="preserve">Recommend a table format. Name the vendor lock-in you are accepting, say why you accept it, and price the exit.</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Table format</t>
        </is>
      </c>
      <c r="B6" s="0" t="inlineStr">
        <is>
          <t xml:space="preserve">Iceberg</t>
        </is>
      </c>
      <c r="C6" s="0" t="inlineStr">
        <is>
          <t xml:space="preserve"/>
        </is>
      </c>
      <c r="D6" s="3" t="inlineStr">
        <is>
          <t xml:space="preserve">Iceberg, Delta Lake, or Hudi.</t>
        </is>
      </c>
    </row>
    <row r="7">
      <c r="A7" s="0" t="inlineStr">
        <is>
          <t xml:space="preserve">Primary engine</t>
        </is>
      </c>
      <c r="B7" s="0" t="inlineStr">
        <is>
          <t xml:space="preserve">Trino</t>
        </is>
      </c>
      <c r="C7" s="0" t="inlineStr">
        <is>
          <t xml:space="preserve"/>
        </is>
      </c>
      <c r="D7" s="3" t="inlineStr">
        <is>
          <t xml:space="preserve">The engine doing most of the reading.</t>
        </is>
      </c>
    </row>
    <row r="8">
      <c r="A8" s="0" t="inlineStr">
        <is>
          <t xml:space="preserve">Engines requiring read access</t>
        </is>
      </c>
      <c r="B8" s="4">
        <v>3</v>
      </c>
      <c r="C8" s="0" t="inlineStr">
        <is>
          <t xml:space="preserve">engines</t>
        </is>
      </c>
      <c r="D8" s="3" t="inlineStr">
        <is>
          <t xml:space="preserve">Portability only matters when more than one engine reads the same table.</t>
        </is>
      </c>
    </row>
    <row r="9">
      <c r="A9" s="0" t="inlineStr">
        <is>
          <t xml:space="preserve">Catalog vendor relationship</t>
        </is>
      </c>
      <c r="B9" s="0" t="inlineStr">
        <is>
          <t xml:space="preserve">Independent</t>
        </is>
      </c>
      <c r="C9" s="0" t="inlineStr">
        <is>
          <t xml:space="preserve"/>
        </is>
      </c>
      <c r="D9" s="3" t="inlineStr">
        <is>
          <t xml:space="preserve">Same as engine, or Independent.</t>
        </is>
      </c>
    </row>
    <row r="10">
      <c r="A10" s="0" t="inlineStr">
        <is>
          <t xml:space="preserve">Data volume</t>
        </is>
      </c>
      <c r="B10" s="4">
        <v>1.5</v>
      </c>
      <c r="C10" s="0" t="inlineStr">
        <is>
          <t xml:space="preserve">PB</t>
        </is>
      </c>
      <c r="D10" s="3" t="inlineStr">
        <is>
          <t xml:space="preserve">Total bytes that would have to be rewritten to leave.</t>
        </is>
      </c>
    </row>
    <row r="11">
      <c r="A11" s="0" t="inlineStr">
        <is>
          <t xml:space="preserve">Migration leaves the cloud</t>
        </is>
      </c>
      <c r="B11" s="0" t="inlineStr">
        <is>
          <t xml:space="preserve">No</t>
        </is>
      </c>
      <c r="C11" s="0" t="inlineStr">
        <is>
          <t xml:space="preserve"/>
        </is>
      </c>
      <c r="D11" s="3" t="inlineStr">
        <is>
          <t xml:space="preserve">Yes or No. Egress is charged only when the bytes leave.</t>
        </is>
      </c>
    </row>
    <row r="13">
      <c r="A13" s="2" t="inlineStr">
        <is>
          <t xml:space="preserve">RATES AND CONSTANTS</t>
        </is>
      </c>
      <c r="E13" s="3" t="inlineStr">
        <is>
          <t xml:space="preserve">Published list prices link to the Rates sheet. Change a price there and every week that uses it follows.</t>
        </is>
      </c>
    </row>
    <row r="14">
      <c r="A14" s="8" t="inlineStr">
        <is>
          <t xml:space="preserve">Item</t>
        </is>
      </c>
      <c r="B14" s="8" t="inlineStr">
        <is>
          <t xml:space="preserve">Value</t>
        </is>
      </c>
      <c r="C14" s="8" t="inlineStr">
        <is>
          <t xml:space="preserve">Unit</t>
        </is>
      </c>
      <c r="D14" s="8" t="inlineStr">
        <is>
          <t xml:space="preserve">Source and note</t>
        </is>
      </c>
    </row>
    <row r="15">
      <c r="A15" s="0" t="inlineStr">
        <is>
          <t xml:space="preserve">Rewrite throughput assumed</t>
        </is>
      </c>
      <c r="B15" s="4">
        <v>5</v>
      </c>
      <c r="C15" s="0" t="inlineStr">
        <is>
          <t xml:space="preserve">TB per hour</t>
        </is>
      </c>
      <c r="D15" s="3" t="inlineStr">
        <is>
          <t xml:space="preserve">A sustained rate for a well-provisioned rewrite job. Your measured rate may differ by an order of magnitude.</t>
        </is>
      </c>
    </row>
    <row r="16">
      <c r="A16" s="0" t="inlineStr">
        <is>
          <t xml:space="preserve">Workers held for the rewrite</t>
        </is>
      </c>
      <c r="B16" s="4">
        <v>20</v>
      </c>
      <c r="C16" s="0" t="inlineStr">
        <is>
          <t xml:space="preserve">nodes</t>
        </is>
      </c>
      <c r="D16" s="3" t="inlineStr">
        <is>
          <t xml:space="preserve"/>
        </is>
      </c>
    </row>
    <row r="17">
      <c r="A17" s="0" t="inlineStr">
        <is>
          <t xml:space="preserve">TB per PB</t>
        </is>
      </c>
      <c r="B17" s="4">
        <v>1000</v>
      </c>
      <c r="C17" s="0" t="inlineStr">
        <is>
          <t xml:space="preserve">TB</t>
        </is>
      </c>
      <c r="D17" s="3" t="inlineStr">
        <is>
          <t xml:space="preserve"/>
        </is>
      </c>
    </row>
    <row r="18">
      <c r="A18" s="0" t="inlineStr">
        <is>
          <t xml:space="preserve">GB per TB</t>
        </is>
      </c>
      <c r="B18" s="4">
        <v>1000</v>
      </c>
      <c r="C18" s="0" t="inlineStr">
        <is>
          <t xml:space="preserve">GB</t>
        </is>
      </c>
      <c r="D18" s="3" t="inlineStr">
        <is>
          <t xml:space="preserve"/>
        </is>
      </c>
    </row>
    <row r="19">
      <c r="A19" s="0" t="inlineStr">
        <is>
          <t xml:space="preserve">Hours per day</t>
        </is>
      </c>
      <c r="B19" s="4">
        <v>24</v>
      </c>
      <c r="C19" s="0" t="inlineStr">
        <is>
          <t xml:space="preserve">hours</t>
        </is>
      </c>
      <c r="D19" s="3" t="inlineStr">
        <is>
          <t xml:space="preserve"/>
        </is>
      </c>
    </row>
    <row r="20">
      <c r="A20" s="0" t="inlineStr">
        <is>
          <t xml:space="preserve">Rewrite compute price</t>
        </is>
      </c>
      <c r="B20" s="6">
        <f>Rates!$C$13</f>
        <v>1.008</v>
      </c>
      <c r="C20" s="0" t="inlineStr">
        <is>
          <t xml:space="preserve">per node-hour</t>
        </is>
      </c>
      <c r="D20" s="3" t="inlineStr">
        <is>
          <t xml:space="preserve">Amazon Web Services, EC2 r5.4xlarge on-demand, 16 vCPU and 128 GiB RAM, us-east-1, Linux. List price retrieved 2026-08-15. One worker in a distributed cluster. Exactly one quarter the RAM and one quarter the price of the single node above.</t>
        </is>
      </c>
    </row>
    <row r="21">
      <c r="A21" s="0" t="inlineStr">
        <is>
          <t xml:space="preserve">Egress price</t>
        </is>
      </c>
      <c r="B21" s="6">
        <f>Rates!$C$20</f>
        <v>0.09</v>
      </c>
      <c r="C21" s="0" t="inlineStr">
        <is>
          <t xml:space="preserve">per GB</t>
        </is>
      </c>
      <c r="D21" s="3" t="inlineStr">
        <is>
          <t xml:space="preserve">Amazon Web Services, Data transfer out to the internet, beyond the first 100 GB per month. List price retrieved 2026-08-15. Roughly 4x the monthly cost of storing the same byte. Egress is what makes leaving a cloud expensive.</t>
        </is>
      </c>
    </row>
    <row r="23">
      <c r="A23" s="2" t="inlineStr">
        <is>
          <t xml:space="preserve">COMPUTED</t>
        </is>
      </c>
      <c r="E23" s="3" t="inlineStr">
        <is>
          <t xml:space="preserve">Each cell holds the formula shown in column D. Nothing here is typed in by hand.</t>
        </is>
      </c>
    </row>
    <row r="24">
      <c r="A24" s="8" t="inlineStr">
        <is>
          <t xml:space="preserve">Figure</t>
        </is>
      </c>
      <c r="B24" s="8" t="inlineStr">
        <is>
          <t xml:space="preserve">Value</t>
        </is>
      </c>
      <c r="C24" s="8" t="inlineStr">
        <is>
          <t xml:space="preserve">Unit</t>
        </is>
      </c>
      <c r="D24" s="8" t="inlineStr">
        <is>
          <t xml:space="preserve">Equation in words</t>
        </is>
      </c>
      <c r="E24" s="8" t="inlineStr">
        <is>
          <t xml:space="preserve">Note</t>
        </is>
      </c>
    </row>
    <row r="25">
      <c r="A25" s="0" t="inlineStr">
        <is>
          <t xml:space="preserve">Full-rewrite time</t>
        </is>
      </c>
      <c r="B25" s="4">
        <f>$B$10*$B$17/$B$15</f>
        <v>300</v>
      </c>
      <c r="C25" s="0" t="inlineStr">
        <is>
          <t xml:space="preserve">hours</t>
        </is>
      </c>
      <c r="D25" s="3" t="inlineStr">
        <is>
          <t xml:space="preserve">Data volume × TB per PB ÷ Rewrite throughput assumed</t>
        </is>
      </c>
      <c r="E25" s="3" t="inlineStr">
        <is>
          <t xml:space="preserve">Mechanical time to rewrite every byte, assuming nothing goes wrong.</t>
        </is>
      </c>
    </row>
    <row r="26">
      <c r="A26" s="0" t="inlineStr">
        <is>
          <t xml:space="preserve">Full-rewrite time in days</t>
        </is>
      </c>
      <c r="B26" s="4">
        <f>$B$25/$B$19</f>
        <v>12.5</v>
      </c>
      <c r="C26" s="0" t="inlineStr">
        <is>
          <t xml:space="preserve">days</t>
        </is>
      </c>
      <c r="D26" s="3" t="inlineStr">
        <is>
          <t xml:space="preserve">Full-rewrite time ÷ Hours per day</t>
        </is>
      </c>
      <c r="E26" s="3" t="inlineStr">
        <is>
          <t xml:space="preserve">The same figure in a unit an executive will actually hear.</t>
        </is>
      </c>
    </row>
    <row r="27">
      <c r="A27" s="0" t="inlineStr">
        <is>
          <t xml:space="preserve">Rewrite compute cost</t>
        </is>
      </c>
      <c r="B27" s="5">
        <f>$B$25*$B$20*$B$16</f>
        <v>6048</v>
      </c>
      <c r="C27" s="0" t="inlineStr">
        <is>
          <t xml:space="preserve">USD</t>
        </is>
      </c>
      <c r="D27" s="3" t="inlineStr">
        <is>
          <t xml:space="preserve">Full-rewrite time × Rewrite compute price × Workers held for the rewrite</t>
        </is>
      </c>
      <c r="E27" s="3" t="inlineStr">
        <is>
          <t xml:space="preserve"/>
        </is>
      </c>
    </row>
    <row r="28">
      <c r="A28" s="0" t="inlineStr">
        <is>
          <t xml:space="preserve">Egress cost to leave the cloud</t>
        </is>
      </c>
      <c r="B28" s="5">
        <f>IF($B$11="Yes",$B$10*$B$17*$B$18*$B$21,0)</f>
        <v>0</v>
      </c>
      <c r="C28" s="0" t="inlineStr">
        <is>
          <t xml:space="preserve">USD</t>
        </is>
      </c>
      <c r="D28" s="3" t="inlineStr">
        <is>
          <t xml:space="preserve">IF(Migration leaves the cloud="Yes",Data volume × TB per PB × GB per TB × Egress price,0)</t>
        </is>
      </c>
      <c r="E28" s="3" t="inlineStr">
        <is>
          <t xml:space="preserve">Zero when the migration stays inside one cloud.</t>
        </is>
      </c>
    </row>
    <row r="29">
      <c r="A29" s="0" t="inlineStr">
        <is>
          <t xml:space="preserve">Mechanical cost of leaving</t>
        </is>
      </c>
      <c r="B29" s="5">
        <f>$B$27+$B$28</f>
        <v>6048</v>
      </c>
      <c r="C29" s="0" t="inlineStr">
        <is>
          <t xml:space="preserve">USD</t>
        </is>
      </c>
      <c r="D29" s="3" t="inlineStr">
        <is>
          <t xml:space="preserve">Rewrite compute cost + Egress cost to leave the cloud</t>
        </is>
      </c>
      <c r="E29" s="3" t="inlineStr">
        <is>
          <t xml:space="preserve">Excludes every hour of human time, which is the larger number.</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3: Catalog Failure Modes and Cost</t>
        </is>
      </c>
    </row>
    <row r="2">
      <c r="A2" s="3" t="inlineStr">
        <is>
          <t xml:space="preserve">Choose a catalog. Name the failure mode you inherit with that choice, say how you would detect it, and price the catalog itself.</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Catalog hosting</t>
        </is>
      </c>
      <c r="B6" s="0" t="inlineStr">
        <is>
          <t xml:space="preserve">Managed by vendor</t>
        </is>
      </c>
      <c r="C6" s="0" t="inlineStr">
        <is>
          <t xml:space="preserve"/>
        </is>
      </c>
      <c r="D6" s="3" t="inlineStr">
        <is>
          <t xml:space="preserve">Managed by vendor, or Self-hosted.</t>
        </is>
      </c>
    </row>
    <row r="7">
      <c r="A7" s="0" t="inlineStr">
        <is>
          <t xml:space="preserve">Credential handling</t>
        </is>
      </c>
      <c r="B7" s="0" t="inlineStr">
        <is>
          <t xml:space="preserve">Vended by catalog</t>
        </is>
      </c>
      <c r="C7" s="0" t="inlineStr">
        <is>
          <t xml:space="preserve"/>
        </is>
      </c>
      <c r="D7" s="3" t="inlineStr">
        <is>
          <t xml:space="preserve">Vended by catalog, or Direct storage credentials.</t>
        </is>
      </c>
    </row>
    <row r="8">
      <c r="A8" s="0" t="inlineStr">
        <is>
          <t xml:space="preserve">Autonomous agent access</t>
        </is>
      </c>
      <c r="B8" s="0" t="inlineStr">
        <is>
          <t xml:space="preserve">Permitted</t>
        </is>
      </c>
      <c r="C8" s="0" t="inlineStr">
        <is>
          <t xml:space="preserve"/>
        </is>
      </c>
      <c r="D8" s="3" t="inlineStr">
        <is>
          <t xml:space="preserve">Permitted, or Not permitted.</t>
        </is>
      </c>
    </row>
    <row r="9">
      <c r="A9" s="0" t="inlineStr">
        <is>
          <t xml:space="preserve">Recovery time objective</t>
        </is>
      </c>
      <c r="B9" s="4">
        <v>60</v>
      </c>
      <c r="C9" s="0" t="inlineStr">
        <is>
          <t xml:space="preserve">minutes</t>
        </is>
      </c>
      <c r="D9" s="3" t="inlineStr">
        <is>
          <t xml:space="preserve">How long you have agreed the catalog may stay down.</t>
        </is>
      </c>
    </row>
    <row r="10">
      <c r="A10" s="0" t="inlineStr">
        <is>
          <t xml:space="preserve">Tables under management</t>
        </is>
      </c>
      <c r="B10" s="4">
        <v>900</v>
      </c>
      <c r="C10" s="0" t="inlineStr">
        <is>
          <t xml:space="preserve">tables</t>
        </is>
      </c>
      <c r="D10" s="3" t="inlineStr">
        <is>
          <t xml:space="preserve">Every table is one catalog object.</t>
        </is>
      </c>
    </row>
    <row r="11">
      <c r="A11" s="0" t="inlineStr">
        <is>
          <t xml:space="preserve">Partitions per table</t>
        </is>
      </c>
      <c r="B11" s="4">
        <v>1095</v>
      </c>
      <c r="C11" s="0" t="inlineStr">
        <is>
          <t xml:space="preserve">partitions</t>
        </is>
      </c>
      <c r="D11" s="3" t="inlineStr">
        <is>
          <t xml:space="preserve">Three years of daily partitions is about 1,095.</t>
        </is>
      </c>
    </row>
    <row r="12">
      <c r="A12" s="0" t="inlineStr">
        <is>
          <t xml:space="preserve">Queries per day</t>
        </is>
      </c>
      <c r="B12" s="4">
        <v>20000</v>
      </c>
      <c r="C12" s="0" t="inlineStr">
        <is>
          <t xml:space="preserve">queries</t>
        </is>
      </c>
      <c r="D12" s="3" t="inlineStr">
        <is>
          <t xml:space="preserve">Catalog requests scale with query count, not data volume.</t>
        </is>
      </c>
    </row>
    <row r="14">
      <c r="A14" s="2" t="inlineStr">
        <is>
          <t xml:space="preserve">RATES AND CONSTANTS</t>
        </is>
      </c>
      <c r="E14" s="3" t="inlineStr">
        <is>
          <t xml:space="preserve">Published list prices link to the Rates sheet. Change a price there and every week that uses it follows.</t>
        </is>
      </c>
    </row>
    <row r="15">
      <c r="A15" s="8" t="inlineStr">
        <is>
          <t xml:space="preserve">Item</t>
        </is>
      </c>
      <c r="B15" s="8" t="inlineStr">
        <is>
          <t xml:space="preserve">Value</t>
        </is>
      </c>
      <c r="C15" s="8" t="inlineStr">
        <is>
          <t xml:space="preserve">Unit</t>
        </is>
      </c>
      <c r="D15" s="8" t="inlineStr">
        <is>
          <t xml:space="preserve">Source and note</t>
        </is>
      </c>
    </row>
    <row r="16">
      <c r="A16" s="0" t="inlineStr">
        <is>
          <t xml:space="preserve">Catalog lookups per query</t>
        </is>
      </c>
      <c r="B16" s="4">
        <v>4</v>
      </c>
      <c r="C16" s="0" t="inlineStr">
        <is>
          <t xml:space="preserve">lookups</t>
        </is>
      </c>
      <c r="D16" s="3" t="inlineStr">
        <is>
          <t xml:space="preserve">Planning hits the catalog several times before reading a byte.</t>
        </is>
      </c>
    </row>
    <row r="17">
      <c r="A17" s="0" t="inlineStr">
        <is>
          <t xml:space="preserve">Days per month</t>
        </is>
      </c>
      <c r="B17" s="4">
        <v>30.42</v>
      </c>
      <c r="C17" s="0" t="inlineStr">
        <is>
          <t xml:space="preserve">days</t>
        </is>
      </c>
      <c r="D17" s="3" t="inlineStr">
        <is>
          <t xml:space="preserve"/>
        </is>
      </c>
    </row>
    <row r="18">
      <c r="A18" s="0" t="inlineStr">
        <is>
          <t xml:space="preserve">Catalog objects included free</t>
        </is>
      </c>
      <c r="B18" s="4">
        <v>1000000</v>
      </c>
      <c r="C18" s="0" t="inlineStr">
        <is>
          <t xml:space="preserve">objects</t>
        </is>
      </c>
      <c r="D18" s="3" t="inlineStr">
        <is>
          <t xml:space="preserve"/>
        </is>
      </c>
    </row>
    <row r="19">
      <c r="A19" s="0" t="inlineStr">
        <is>
          <t xml:space="preserve">Objects per priced block</t>
        </is>
      </c>
      <c r="B19" s="4">
        <v>100000</v>
      </c>
      <c r="C19" s="0" t="inlineStr">
        <is>
          <t xml:space="preserve">objects</t>
        </is>
      </c>
      <c r="D19" s="3" t="inlineStr">
        <is>
          <t xml:space="preserve"/>
        </is>
      </c>
    </row>
    <row r="20">
      <c r="A20" s="0" t="inlineStr">
        <is>
          <t xml:space="preserve">Catalog requests included free</t>
        </is>
      </c>
      <c r="B20" s="4">
        <v>1000000</v>
      </c>
      <c r="C20" s="0" t="inlineStr">
        <is>
          <t xml:space="preserve">requests</t>
        </is>
      </c>
      <c r="D20" s="3" t="inlineStr">
        <is>
          <t xml:space="preserve"/>
        </is>
      </c>
    </row>
    <row r="21">
      <c r="A21" s="0" t="inlineStr">
        <is>
          <t xml:space="preserve">Requests per priced block</t>
        </is>
      </c>
      <c r="B21" s="4">
        <v>1000000</v>
      </c>
      <c r="C21" s="0" t="inlineStr">
        <is>
          <t xml:space="preserve">requests</t>
        </is>
      </c>
      <c r="D21" s="3" t="inlineStr">
        <is>
          <t xml:space="preserve"/>
        </is>
      </c>
    </row>
    <row r="22">
      <c r="A22" s="0" t="inlineStr">
        <is>
          <t xml:space="preserve">Nodes for a self-hosted quorum</t>
        </is>
      </c>
      <c r="B22" s="4">
        <v>3</v>
      </c>
      <c r="C22" s="0" t="inlineStr">
        <is>
          <t xml:space="preserve">nodes</t>
        </is>
      </c>
      <c r="D22" s="3" t="inlineStr">
        <is>
          <t xml:space="preserve"/>
        </is>
      </c>
    </row>
    <row r="23">
      <c r="A23" s="0" t="inlineStr">
        <is>
          <t xml:space="preserve">Hours per month</t>
        </is>
      </c>
      <c r="B23" s="4">
        <v>730</v>
      </c>
      <c r="C23" s="0" t="inlineStr">
        <is>
          <t xml:space="preserve">hours</t>
        </is>
      </c>
      <c r="D23" s="3" t="inlineStr">
        <is>
          <t xml:space="preserve">The figure cloud vendors bill against.</t>
        </is>
      </c>
    </row>
    <row r="24">
      <c r="A24" s="0" t="inlineStr">
        <is>
          <t xml:space="preserve">Hours per year</t>
        </is>
      </c>
      <c r="B24" s="4">
        <v>8760</v>
      </c>
      <c r="C24" s="0" t="inlineStr">
        <is>
          <t xml:space="preserve">hours</t>
        </is>
      </c>
      <c r="D24" s="3" t="inlineStr">
        <is>
          <t xml:space="preserve">Used for the hourly audit log.</t>
        </is>
      </c>
    </row>
    <row r="25">
      <c r="A25" s="0" t="inlineStr">
        <is>
          <t xml:space="preserve">Failure modes before agent access</t>
        </is>
      </c>
      <c r="B25" s="4">
        <v>2</v>
      </c>
      <c r="C25" s="0" t="inlineStr">
        <is>
          <t xml:space="preserve">modes</t>
        </is>
      </c>
      <c r="D25" s="3" t="inlineStr">
        <is>
          <t xml:space="preserve">One for hosting, one for credential handling.</t>
        </is>
      </c>
    </row>
    <row r="26">
      <c r="A26" s="0" t="inlineStr">
        <is>
          <t xml:space="preserve">Catalog object price</t>
        </is>
      </c>
      <c r="B26" s="6">
        <f>Rates!$C$22</f>
        <v>1</v>
      </c>
      <c r="C26" s="0" t="inlineStr">
        <is>
          <t xml:space="preserve">per 100,000 objects per month</t>
        </is>
      </c>
      <c r="D26" s="3" t="inlineStr">
        <is>
          <t xml:space="preserve">Amazon Web Services, AWS Glue Data Catalog storage, beyond the first 1,000,000 objects. List price retrieved 2026-08-15. An object is a table, partition, or database. Partition count, not table count, is what usually blows past the free tier.</t>
        </is>
      </c>
    </row>
    <row r="27">
      <c r="A27" s="0" t="inlineStr">
        <is>
          <t xml:space="preserve">Catalog request price</t>
        </is>
      </c>
      <c r="B27" s="6">
        <f>Rates!$C$23</f>
        <v>1</v>
      </c>
      <c r="C27" s="0" t="inlineStr">
        <is>
          <t xml:space="preserve">per 1,000,000 requests</t>
        </is>
      </c>
      <c r="D27" s="3" t="inlineStr">
        <is>
          <t xml:space="preserve">Amazon Web Services, AWS Glue Data Catalog requests, beyond the first 1,000,000 per month. List price retrieved 2026-08-15. Every query plan hits the catalog several times. Catalog requests scale with query count, not data volume.</t>
        </is>
      </c>
    </row>
    <row r="28">
      <c r="A28" s="0" t="inlineStr">
        <is>
          <t xml:space="preserve">Self-hosting compute price</t>
        </is>
      </c>
      <c r="B28" s="6">
        <f>Rates!$C$13</f>
        <v>1.008</v>
      </c>
      <c r="C28" s="0" t="inlineStr">
        <is>
          <t xml:space="preserve">per node-hour</t>
        </is>
      </c>
      <c r="D28" s="3" t="inlineStr">
        <is>
          <t xml:space="preserve">Amazon Web Services, EC2 r5.4xlarge on-demand, 16 vCPU and 128 GiB RAM, us-east-1, Linux. List price retrieved 2026-08-15. One worker in a distributed cluster. Exactly one quarter the RAM and one quarter the price of the single node above.</t>
        </is>
      </c>
    </row>
    <row r="30">
      <c r="A30" s="2" t="inlineStr">
        <is>
          <t xml:space="preserve">COMPUTED</t>
        </is>
      </c>
      <c r="E30" s="3" t="inlineStr">
        <is>
          <t xml:space="preserve">Each cell holds the formula shown in column D. Nothing here is typed in by hand.</t>
        </is>
      </c>
    </row>
    <row r="31">
      <c r="A31" s="8" t="inlineStr">
        <is>
          <t xml:space="preserve">Figure</t>
        </is>
      </c>
      <c r="B31" s="8" t="inlineStr">
        <is>
          <t xml:space="preserve">Value</t>
        </is>
      </c>
      <c r="C31" s="8" t="inlineStr">
        <is>
          <t xml:space="preserve">Unit</t>
        </is>
      </c>
      <c r="D31" s="8" t="inlineStr">
        <is>
          <t xml:space="preserve">Equation in words</t>
        </is>
      </c>
      <c r="E31" s="8" t="inlineStr">
        <is>
          <t xml:space="preserve">Note</t>
        </is>
      </c>
    </row>
    <row r="32">
      <c r="A32" s="0" t="inlineStr">
        <is>
          <t xml:space="preserve">Failure modes surfaced</t>
        </is>
      </c>
      <c r="B32" s="4">
        <f>$B$25+IF($B$8="Permitted",1,0)</f>
        <v>3</v>
      </c>
      <c r="C32" s="0" t="inlineStr">
        <is>
          <t xml:space="preserve">modes</t>
        </is>
      </c>
      <c r="D32" s="3" t="inlineStr">
        <is>
          <t xml:space="preserve">Failure modes before agent access + IF(Autonomous agent access="Permitted",1,0)</t>
        </is>
      </c>
      <c r="E32" s="3" t="inlineStr">
        <is>
          <t xml:space="preserve">Hosting and credential handling each contribute one. Agent access adds a third.</t>
        </is>
      </c>
    </row>
    <row r="33">
      <c r="A33" s="0" t="inlineStr">
        <is>
          <t xml:space="preserve">Catalog objects</t>
        </is>
      </c>
      <c r="B33" s="4">
        <f>$B$10*(1+$B$11)</f>
        <v>986400</v>
      </c>
      <c r="C33" s="0" t="inlineStr">
        <is>
          <t xml:space="preserve">objects</t>
        </is>
      </c>
      <c r="D33" s="3" t="inlineStr">
        <is>
          <t xml:space="preserve">Tables under management × (1 + Partitions per table)</t>
        </is>
      </c>
      <c r="E33" s="3" t="inlineStr">
        <is>
          <t xml:space="preserve">Tables plus partitions. Partition count is what crosses the free tier.</t>
        </is>
      </c>
    </row>
    <row r="34">
      <c r="A34" s="0" t="inlineStr">
        <is>
          <t xml:space="preserve">Catalog storage per month</t>
        </is>
      </c>
      <c r="B34" s="6">
        <f>MAX(0,$B$33-$B$18)/$B$19*$B$26</f>
        <v>0</v>
      </c>
      <c r="C34" s="0" t="inlineStr">
        <is>
          <t xml:space="preserve">USD per month</t>
        </is>
      </c>
      <c r="D34" s="3" t="inlineStr">
        <is>
          <t xml:space="preserve">MAX(0,Catalog objects - Catalog objects included free) ÷ Objects per priced block × Catalog object price</t>
        </is>
      </c>
      <c r="E34" s="3" t="inlineStr">
        <is>
          <t xml:space="preserve"/>
        </is>
      </c>
    </row>
    <row r="35">
      <c r="A35" s="0" t="inlineStr">
        <is>
          <t xml:space="preserve">Catalog requests per month</t>
        </is>
      </c>
      <c r="B35" s="4">
        <f>$B$12*$B$16*$B$17</f>
        <v>2433600</v>
      </c>
      <c r="C35" s="0" t="inlineStr">
        <is>
          <t xml:space="preserve">requests</t>
        </is>
      </c>
      <c r="D35" s="3" t="inlineStr">
        <is>
          <t xml:space="preserve">Queries per day × Catalog lookups per query × Days per month</t>
        </is>
      </c>
      <c r="E35" s="3" t="inlineStr">
        <is>
          <t xml:space="preserve">The line after this one prices them; this one counts them.</t>
        </is>
      </c>
    </row>
    <row r="36">
      <c r="A36" s="0" t="inlineStr">
        <is>
          <t xml:space="preserve">Catalog request cost per month</t>
        </is>
      </c>
      <c r="B36" s="6">
        <f>MAX(0,$B$35-$B$20)/$B$21*$B$27</f>
        <v>1.4336</v>
      </c>
      <c r="C36" s="0" t="inlineStr">
        <is>
          <t xml:space="preserve">USD per month</t>
        </is>
      </c>
      <c r="D36" s="3" t="inlineStr">
        <is>
          <t xml:space="preserve">MAX(0,Catalog requests per month - Catalog requests included free) ÷ Requests per priced block × Catalog request price</t>
        </is>
      </c>
      <c r="E36" s="3" t="inlineStr">
        <is>
          <t xml:space="preserve"/>
        </is>
      </c>
    </row>
    <row r="37">
      <c r="A37" s="0" t="inlineStr">
        <is>
          <t xml:space="preserve">Self-hosting compute per month</t>
        </is>
      </c>
      <c r="B37" s="6">
        <f>IF($B$6="Self-hosted",$B$28*$B$22*$B$23,0)</f>
        <v>0</v>
      </c>
      <c r="C37" s="0" t="inlineStr">
        <is>
          <t xml:space="preserve">USD per month</t>
        </is>
      </c>
      <c r="D37" s="3" t="inlineStr">
        <is>
          <t xml:space="preserve">IF(Catalog hosting="Self-hosted",Self-hosting compute price × Nodes for a self-hosted quorum × Hours per month,0)</t>
        </is>
      </c>
      <c r="E37" s="3" t="inlineStr">
        <is>
          <t xml:space="preserve">Zero when the vendor hosts it.</t>
        </is>
      </c>
    </row>
    <row r="38">
      <c r="A38" s="0" t="inlineStr">
        <is>
          <t xml:space="preserve">Catalog cost per month</t>
        </is>
      </c>
      <c r="B38" s="6">
        <f>$B$34+$B$36+$B$37</f>
        <v>1.4336</v>
      </c>
      <c r="C38" s="0" t="inlineStr">
        <is>
          <t xml:space="preserve">USD per month</t>
        </is>
      </c>
      <c r="D38" s="3" t="inlineStr">
        <is>
          <t xml:space="preserve">Catalog storage per month + Catalog request cost per month + Self-hosting compute per month</t>
        </is>
      </c>
      <c r="E38" s="3" t="inlineStr">
        <is>
          <t xml:space="preserve">Small in absolute terms. That is the point.</t>
        </is>
      </c>
    </row>
    <row r="39">
      <c r="A39" s="0" t="inlineStr">
        <is>
          <t xml:space="preserve">Audit rows per year at hourly granularity</t>
        </is>
      </c>
      <c r="B39" s="4">
        <f>$B$10*$B$24</f>
        <v>7884000</v>
      </c>
      <c r="C39" s="0" t="inlineStr">
        <is>
          <t xml:space="preserve">rows</t>
        </is>
      </c>
      <c r="D39" s="3" t="inlineStr">
        <is>
          <t xml:space="preserve">Tables under management × Hours per year</t>
        </is>
      </c>
      <c r="E39" s="3" t="inlineStr">
        <is>
          <t xml:space="preserve">One access-log row per table per hour. Retaining this log is itself a storage decision.</t>
        </is>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4: Engine Cost Against Budget Ceiling</t>
        </is>
      </c>
    </row>
    <row r="2">
      <c r="A2" s="3" t="inlineStr">
        <is>
          <t xml:space="preserve">Recommend an engine under a fixed annual budget. State explicitly what capability you gave up to stay inside it.</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Annual budget ceiling</t>
        </is>
      </c>
      <c r="B6" s="4">
        <v>1450000</v>
      </c>
      <c r="C6" s="0" t="inlineStr">
        <is>
          <t xml:space="preserve">USD</t>
        </is>
      </c>
      <c r="D6" s="3" t="inlineStr">
        <is>
          <t xml:space="preserve">The Final Artifact constraint.</t>
        </is>
      </c>
    </row>
    <row r="7">
      <c r="A7" s="0" t="inlineStr">
        <is>
          <t xml:space="preserve">Published unit price</t>
        </is>
      </c>
      <c r="B7" s="4">
        <v>2</v>
      </c>
      <c r="C7" s="0" t="inlineStr">
        <is>
          <t xml:space="preserve">USD</t>
        </is>
      </c>
      <c r="D7" s="3" t="inlineStr">
        <is>
          <t xml:space="preserve">From the vendor pricing page, not from memory.</t>
        </is>
      </c>
    </row>
    <row r="8">
      <c r="A8" s="0" t="inlineStr">
        <is>
          <t xml:space="preserve">Price unit</t>
        </is>
      </c>
      <c r="B8" s="0" t="inlineStr">
        <is>
          <t xml:space="preserve">per credit</t>
        </is>
      </c>
      <c r="C8" s="0" t="inlineStr">
        <is>
          <t xml:space="preserve"/>
        </is>
      </c>
      <c r="D8" s="3" t="inlineStr">
        <is>
          <t xml:space="preserve">Per credit, per TB scanned, per DBU, or per node hour.</t>
        </is>
      </c>
    </row>
    <row r="9">
      <c r="A9" s="0" t="inlineStr">
        <is>
          <t xml:space="preserve">Price retrieved on</t>
        </is>
      </c>
      <c r="B9" s="7">
        <v>46249</v>
      </c>
      <c r="C9" s="0" t="inlineStr">
        <is>
          <t xml:space="preserve">date</t>
        </is>
      </c>
      <c r="D9" s="3" t="inlineStr">
        <is>
          <t xml:space="preserve">An undated price is not evidence.</t>
        </is>
      </c>
    </row>
    <row r="10">
      <c r="A10" s="0" t="inlineStr">
        <is>
          <t xml:space="preserve">Expected units per month</t>
        </is>
      </c>
      <c r="B10" s="4">
        <v>12000</v>
      </c>
      <c r="C10" s="0" t="inlineStr">
        <is>
          <t xml:space="preserve">units</t>
        </is>
      </c>
      <c r="D10" s="3" t="inlineStr">
        <is>
          <t xml:space="preserve">A forecast you supplied, and the largest source of error here.</t>
        </is>
      </c>
    </row>
    <row r="11">
      <c r="A11" s="0" t="inlineStr">
        <is>
          <t xml:space="preserve">Committed-use discount</t>
        </is>
      </c>
      <c r="B11" s="4">
        <v>20</v>
      </c>
      <c r="C11" s="0" t="inlineStr">
        <is>
          <t xml:space="preserve">percent</t>
        </is>
      </c>
      <c r="D11" s="3" t="inlineStr">
        <is>
          <t xml:space="preserve">A multi-year obligation traded for a lower rate.</t>
        </is>
      </c>
    </row>
    <row r="12">
      <c r="A12" s="0" t="inlineStr">
        <is>
          <t xml:space="preserve">Storage under management</t>
        </is>
      </c>
      <c r="B12" s="4">
        <v>400</v>
      </c>
      <c r="C12" s="0" t="inlineStr">
        <is>
          <t xml:space="preserve">TB</t>
        </is>
      </c>
      <c r="D12" s="3" t="inlineStr">
        <is>
          <t xml:space="preserve">A compute-only budget is not a platform budget.</t>
        </is>
      </c>
    </row>
    <row r="14">
      <c r="A14" s="2" t="inlineStr">
        <is>
          <t xml:space="preserve">RATES AND CONSTANTS</t>
        </is>
      </c>
      <c r="E14" s="3" t="inlineStr">
        <is>
          <t xml:space="preserve">Published list prices link to the Rates sheet. Change a price there and every week that uses it follows.</t>
        </is>
      </c>
    </row>
    <row r="15">
      <c r="A15" s="8" t="inlineStr">
        <is>
          <t xml:space="preserve">Item</t>
        </is>
      </c>
      <c r="B15" s="8" t="inlineStr">
        <is>
          <t xml:space="preserve">Value</t>
        </is>
      </c>
      <c r="C15" s="8" t="inlineStr">
        <is>
          <t xml:space="preserve">Unit</t>
        </is>
      </c>
      <c r="D15" s="8" t="inlineStr">
        <is>
          <t xml:space="preserve">Source and note</t>
        </is>
      </c>
    </row>
    <row r="16">
      <c r="A16" s="0" t="inlineStr">
        <is>
          <t xml:space="preserve">Months per year</t>
        </is>
      </c>
      <c r="B16" s="4">
        <v>12</v>
      </c>
      <c r="C16" s="0" t="inlineStr">
        <is>
          <t xml:space="preserve">months</t>
        </is>
      </c>
      <c r="D16" s="3" t="inlineStr">
        <is>
          <t xml:space="preserve"/>
        </is>
      </c>
    </row>
    <row r="17">
      <c r="A17" s="0" t="inlineStr">
        <is>
          <t xml:space="preserve">GB per TB</t>
        </is>
      </c>
      <c r="B17" s="4">
        <v>1000</v>
      </c>
      <c r="C17" s="0" t="inlineStr">
        <is>
          <t xml:space="preserve">GB</t>
        </is>
      </c>
      <c r="D17" s="3" t="inlineStr">
        <is>
          <t xml:space="preserve">Storage is priced per GB-month.</t>
        </is>
      </c>
    </row>
    <row r="18">
      <c r="A18" s="0" t="inlineStr">
        <is>
          <t xml:space="preserve">Object storage price</t>
        </is>
      </c>
      <c r="B18" s="6">
        <f>Rates!$C$5</f>
        <v>0.023</v>
      </c>
      <c r="C18" s="0" t="inlineStr">
        <is>
          <t xml:space="preserve">per GB-month</t>
        </is>
      </c>
      <c r="D18" s="3" t="inlineStr">
        <is>
          <t xml:space="preserve">Amazon Web Services, S3 Standard, first 50 TB per month, us-east-1. List price retrieved 2026-08-15. The default landing tier for a lakehouse. Billed on average bytes stored across the month, not peak.</t>
        </is>
      </c>
    </row>
    <row r="20">
      <c r="A20" s="2" t="inlineStr">
        <is>
          <t xml:space="preserve">COMPUTED</t>
        </is>
      </c>
      <c r="E20" s="3" t="inlineStr">
        <is>
          <t xml:space="preserve">Each cell holds the formula shown in column D. Nothing here is typed in by hand.</t>
        </is>
      </c>
    </row>
    <row r="21">
      <c r="A21" s="8" t="inlineStr">
        <is>
          <t xml:space="preserve">Figure</t>
        </is>
      </c>
      <c r="B21" s="8" t="inlineStr">
        <is>
          <t xml:space="preserve">Value</t>
        </is>
      </c>
      <c r="C21" s="8" t="inlineStr">
        <is>
          <t xml:space="preserve">Unit</t>
        </is>
      </c>
      <c r="D21" s="8" t="inlineStr">
        <is>
          <t xml:space="preserve">Equation in words</t>
        </is>
      </c>
      <c r="E21" s="8" t="inlineStr">
        <is>
          <t xml:space="preserve">Note</t>
        </is>
      </c>
    </row>
    <row r="22">
      <c r="A22" s="0" t="inlineStr">
        <is>
          <t xml:space="preserve">Compute at list price</t>
        </is>
      </c>
      <c r="B22" s="5">
        <f>$B$7*$B$10*$B$16</f>
        <v>288000</v>
      </c>
      <c r="C22" s="0" t="inlineStr">
        <is>
          <t xml:space="preserve">USD per year</t>
        </is>
      </c>
      <c r="D22" s="3" t="inlineStr">
        <is>
          <t xml:space="preserve">Published unit price × Expected units per month × Months per year</t>
        </is>
      </c>
      <c r="E22" s="3" t="inlineStr">
        <is>
          <t xml:space="preserve">Nobody is quoted a discount before they ask.</t>
        </is>
      </c>
    </row>
    <row r="23">
      <c r="A23" s="0" t="inlineStr">
        <is>
          <t xml:space="preserve">Compute after commit discount</t>
        </is>
      </c>
      <c r="B23" s="5">
        <f>$B$22*(1-$B$11/100)</f>
        <v>230400</v>
      </c>
      <c r="C23" s="0" t="inlineStr">
        <is>
          <t xml:space="preserve">USD per year</t>
        </is>
      </c>
      <c r="D23" s="3" t="inlineStr">
        <is>
          <t xml:space="preserve">Compute at list price × (1 - Committed-use discount ÷ 100)</t>
        </is>
      </c>
      <c r="E23" s="3" t="inlineStr">
        <is>
          <t xml:space="preserve">What you pay if the forecast holds. If it does not, you still owe the commitment.</t>
        </is>
      </c>
    </row>
    <row r="24">
      <c r="A24" s="0" t="inlineStr">
        <is>
          <t xml:space="preserve">Storage per year</t>
        </is>
      </c>
      <c r="B24" s="5">
        <f>$B$12*$B$17*$B$18*$B$16</f>
        <v>110400</v>
      </c>
      <c r="C24" s="0" t="inlineStr">
        <is>
          <t xml:space="preserve">USD per year</t>
        </is>
      </c>
      <c r="D24" s="3" t="inlineStr">
        <is>
          <t xml:space="preserve">Storage under management × GB per TB × Object storage price × Months per year</t>
        </is>
      </c>
      <c r="E24" s="3" t="inlineStr">
        <is>
          <t xml:space="preserve"/>
        </is>
      </c>
    </row>
    <row r="25">
      <c r="A25" s="0" t="inlineStr">
        <is>
          <t xml:space="preserve">Platform total per year</t>
        </is>
      </c>
      <c r="B25" s="5">
        <f>$B$23+$B$24</f>
        <v>340800</v>
      </c>
      <c r="C25" s="0" t="inlineStr">
        <is>
          <t xml:space="preserve">USD per year</t>
        </is>
      </c>
      <c r="D25" s="3" t="inlineStr">
        <is>
          <t xml:space="preserve">Compute after commit discount + Storage per year</t>
        </is>
      </c>
      <c r="E25" s="3" t="inlineStr">
        <is>
          <t xml:space="preserve">This, not the compute line, is what the ceiling has to cover.</t>
        </is>
      </c>
    </row>
    <row r="26">
      <c r="A26" s="0" t="inlineStr">
        <is>
          <t xml:space="preserve">Budget remaining</t>
        </is>
      </c>
      <c r="B26" s="5">
        <f>$B$6-$B$25</f>
        <v>1109200</v>
      </c>
      <c r="C26" s="0" t="inlineStr">
        <is>
          <t xml:space="preserve">USD per year</t>
        </is>
      </c>
      <c r="D26" s="3" t="inlineStr">
        <is>
          <t xml:space="preserve">Annual budget ceiling - Platform total per year</t>
        </is>
      </c>
      <c r="E26" s="3" t="inlineStr">
        <is>
          <t xml:space="preserve">Your entire margin for a forecast error or a price rise.</t>
        </is>
      </c>
    </row>
    <row r="27">
      <c r="A27" s="0" t="inlineStr">
        <is>
          <t xml:space="preserve">Ceiling utilisation</t>
        </is>
      </c>
      <c r="B27" s="4">
        <f>$B$25/$B$6*100</f>
        <v>23.50344827586207</v>
      </c>
      <c r="C27" s="0" t="inlineStr">
        <is>
          <t xml:space="preserve">percent</t>
        </is>
      </c>
      <c r="D27" s="3" t="inlineStr">
        <is>
          <t xml:space="preserve">Platform total per year ÷ Annual budget ceiling × 100</t>
        </is>
      </c>
      <c r="E27" s="3" t="inlineStr">
        <is>
          <t xml:space="preserve">Above 85 percent there is no room inside the budget year.</t>
        </is>
      </c>
    </row>
    <row r="28">
      <c r="A28" s="0" t="inlineStr">
        <is>
          <t xml:space="preserve">Units per month that exhaust the ceiling</t>
        </is>
      </c>
      <c r="B28" s="4">
        <f>($B$6-$B$24)/(1-$B$11/100)/$B$7/$B$16</f>
        <v>69770.83333333333</v>
      </c>
      <c r="C28" s="0" t="inlineStr">
        <is>
          <t xml:space="preserve">units per month</t>
        </is>
      </c>
      <c r="D28" s="3" t="inlineStr">
        <is>
          <t xml:space="preserve">(Annual budget ceiling - Storage per year) ÷ (1 - Committed-use discount ÷ 100) ÷ Published unit price ÷ Months per year</t>
        </is>
      </c>
      <c r="E28" s="3" t="inlineStr">
        <is>
          <t xml:space="preserve">The volume at which compute plus storage exactly equals the ceiling.</t>
        </is>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5: Spend Reduction and Unit Economics</t>
        </is>
      </c>
    </row>
    <row r="2">
      <c r="A2" s="3" t="inlineStr">
        <is>
          <t xml:space="preserve">Cut 20 percent of platform spend. Name what breaks, who complains, what you tell them, and what the cut does to cost per query.</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Target reduction</t>
        </is>
      </c>
      <c r="B6" s="4">
        <v>20</v>
      </c>
      <c r="C6" s="0" t="inlineStr">
        <is>
          <t xml:space="preserve">percent</t>
        </is>
      </c>
      <c r="D6" s="3" t="inlineStr">
        <is>
          <t xml:space="preserve">The mandate you were handed.</t>
        </is>
      </c>
    </row>
    <row r="7">
      <c r="A7" s="0" t="inlineStr">
        <is>
          <t xml:space="preserve">Queries per year</t>
        </is>
      </c>
      <c r="B7" s="4">
        <v>4000000</v>
      </c>
      <c r="C7" s="0" t="inlineStr">
        <is>
          <t xml:space="preserve">queries</t>
        </is>
      </c>
      <c r="D7" s="3" t="inlineStr">
        <is>
          <t xml:space="preserve">The denominator for cost per query.</t>
        </is>
      </c>
    </row>
    <row r="8">
      <c r="A8" s="0" t="inlineStr">
        <is>
          <t xml:space="preserve">Monthly active users</t>
        </is>
      </c>
      <c r="B8" s="4">
        <v>850</v>
      </c>
      <c r="C8" s="0" t="inlineStr">
        <is>
          <t xml:space="preserve">people</t>
        </is>
      </c>
      <c r="D8" s="3" t="inlineStr">
        <is>
          <t xml:space="preserve">The denominator for cost per user.</t>
        </is>
      </c>
    </row>
    <row r="9">
      <c r="A9" s="0" t="inlineStr">
        <is>
          <t xml:space="preserve">Storage annual spend</t>
        </is>
      </c>
      <c r="B9" s="4">
        <v>300000</v>
      </c>
      <c r="C9" s="0" t="inlineStr">
        <is>
          <t xml:space="preserve">USD</t>
        </is>
      </c>
      <c r="D9" s="3" t="inlineStr">
        <is>
          <t xml:space="preserve">Current annual storage spend, from the invoice rather than the budget.</t>
        </is>
      </c>
    </row>
    <row r="10">
      <c r="A10" s="0" t="inlineStr">
        <is>
          <t xml:space="preserve">Compute annual spend</t>
        </is>
      </c>
      <c r="B10" s="4">
        <v>900000</v>
      </c>
      <c r="C10" s="0" t="inlineStr">
        <is>
          <t xml:space="preserve">USD</t>
        </is>
      </c>
      <c r="D10" s="3" t="inlineStr">
        <is>
          <t xml:space="preserve">Current annual compute spend, from the invoice rather than the budget.</t>
        </is>
      </c>
    </row>
    <row r="11">
      <c r="A11" s="0" t="inlineStr">
        <is>
          <t xml:space="preserve">Ingestion annual spend</t>
        </is>
      </c>
      <c r="B11" s="4">
        <v>200000</v>
      </c>
      <c r="C11" s="0" t="inlineStr">
        <is>
          <t xml:space="preserve">USD</t>
        </is>
      </c>
      <c r="D11" s="3" t="inlineStr">
        <is>
          <t xml:space="preserve">Current annual ingestion spend, from the invoice rather than the budget.</t>
        </is>
      </c>
    </row>
    <row r="12">
      <c r="A12" s="0" t="inlineStr">
        <is>
          <t xml:space="preserve">Observability annual spend</t>
        </is>
      </c>
      <c r="B12" s="4">
        <v>150000</v>
      </c>
      <c r="C12" s="0" t="inlineStr">
        <is>
          <t xml:space="preserve">USD</t>
        </is>
      </c>
      <c r="D12" s="3" t="inlineStr">
        <is>
          <t xml:space="preserve">Current annual observability spend, from the invoice rather than the budget.</t>
        </is>
      </c>
    </row>
    <row r="13">
      <c r="A13" s="0" t="inlineStr">
        <is>
          <t xml:space="preserve">Licences annual spend</t>
        </is>
      </c>
      <c r="B13" s="4">
        <v>250000</v>
      </c>
      <c r="C13" s="0" t="inlineStr">
        <is>
          <t xml:space="preserve">USD</t>
        </is>
      </c>
      <c r="D13" s="3" t="inlineStr">
        <is>
          <t xml:space="preserve">Current annual licences spend, from the invoice rather than the budget.</t>
        </is>
      </c>
    </row>
    <row r="14">
      <c r="A14" s="0" t="inlineStr">
        <is>
          <t xml:space="preserve">Storage cut</t>
        </is>
      </c>
      <c r="B14" s="4">
        <v>10</v>
      </c>
      <c r="C14" s="0" t="inlineStr">
        <is>
          <t xml:space="preserve">percent</t>
        </is>
      </c>
      <c r="D14" s="3" t="inlineStr">
        <is>
          <t xml:space="preserve">Share of storage you propose to remove.</t>
        </is>
      </c>
    </row>
    <row r="15">
      <c r="A15" s="0" t="inlineStr">
        <is>
          <t xml:space="preserve">Compute cut</t>
        </is>
      </c>
      <c r="B15" s="4">
        <v>25</v>
      </c>
      <c r="C15" s="0" t="inlineStr">
        <is>
          <t xml:space="preserve">percent</t>
        </is>
      </c>
      <c r="D15" s="3" t="inlineStr">
        <is>
          <t xml:space="preserve">Share of compute you propose to remove.</t>
        </is>
      </c>
    </row>
    <row r="16">
      <c r="A16" s="0" t="inlineStr">
        <is>
          <t xml:space="preserve">Ingestion cut</t>
        </is>
      </c>
      <c r="B16" s="4">
        <v>15</v>
      </c>
      <c r="C16" s="0" t="inlineStr">
        <is>
          <t xml:space="preserve">percent</t>
        </is>
      </c>
      <c r="D16" s="3" t="inlineStr">
        <is>
          <t xml:space="preserve">Share of ingestion you propose to remove.</t>
        </is>
      </c>
    </row>
    <row r="17">
      <c r="A17" s="0" t="inlineStr">
        <is>
          <t xml:space="preserve">Observability cut</t>
        </is>
      </c>
      <c r="B17" s="4">
        <v>5</v>
      </c>
      <c r="C17" s="0" t="inlineStr">
        <is>
          <t xml:space="preserve">percent</t>
        </is>
      </c>
      <c r="D17" s="3" t="inlineStr">
        <is>
          <t xml:space="preserve">Share of observability you propose to remove.</t>
        </is>
      </c>
    </row>
    <row r="18">
      <c r="A18" s="0" t="inlineStr">
        <is>
          <t xml:space="preserve">Licences cut</t>
        </is>
      </c>
      <c r="B18" s="4">
        <v>30</v>
      </c>
      <c r="C18" s="0" t="inlineStr">
        <is>
          <t xml:space="preserve">percent</t>
        </is>
      </c>
      <c r="D18" s="3" t="inlineStr">
        <is>
          <t xml:space="preserve">Share of licences you propose to remove.</t>
        </is>
      </c>
    </row>
    <row r="20">
      <c r="A20" s="2" t="inlineStr">
        <is>
          <t xml:space="preserve">RATES AND CONSTANTS</t>
        </is>
      </c>
      <c r="E20" s="3" t="inlineStr">
        <is>
          <t xml:space="preserve">Published list prices link to the Rates sheet. Change a price there and every week that uses it follows.</t>
        </is>
      </c>
    </row>
    <row r="21">
      <c r="A21" s="8" t="inlineStr">
        <is>
          <t xml:space="preserve">Item</t>
        </is>
      </c>
      <c r="B21" s="8" t="inlineStr">
        <is>
          <t xml:space="preserve">Value</t>
        </is>
      </c>
      <c r="C21" s="8" t="inlineStr">
        <is>
          <t xml:space="preserve">Unit</t>
        </is>
      </c>
      <c r="D21" s="8" t="inlineStr">
        <is>
          <t xml:space="preserve">Source and note</t>
        </is>
      </c>
    </row>
    <row r="23">
      <c r="A23" s="2" t="inlineStr">
        <is>
          <t xml:space="preserve">COMPUTED</t>
        </is>
      </c>
      <c r="E23" s="3" t="inlineStr">
        <is>
          <t xml:space="preserve">Each cell holds the formula shown in column D. Nothing here is typed in by hand.</t>
        </is>
      </c>
    </row>
    <row r="24">
      <c r="A24" s="8" t="inlineStr">
        <is>
          <t xml:space="preserve">Figure</t>
        </is>
      </c>
      <c r="B24" s="8" t="inlineStr">
        <is>
          <t xml:space="preserve">Value</t>
        </is>
      </c>
      <c r="C24" s="8" t="inlineStr">
        <is>
          <t xml:space="preserve">Unit</t>
        </is>
      </c>
      <c r="D24" s="8" t="inlineStr">
        <is>
          <t xml:space="preserve">Equation in words</t>
        </is>
      </c>
      <c r="E24" s="8" t="inlineStr">
        <is>
          <t xml:space="preserve">Note</t>
        </is>
      </c>
    </row>
    <row r="25">
      <c r="A25" s="0" t="inlineStr">
        <is>
          <t xml:space="preserve">Total annual platform spend</t>
        </is>
      </c>
      <c r="B25" s="5">
        <f>$B$9+$B$10+$B$11+$B$12+$B$13</f>
        <v>1800000</v>
      </c>
      <c r="C25" s="0" t="inlineStr">
        <is>
          <t xml:space="preserve">USD per year</t>
        </is>
      </c>
      <c r="D25" s="3" t="inlineStr">
        <is>
          <t xml:space="preserve">Storage annual spend + Compute annual spend + Ingestion annual spend + Observability annual spend + Licences annual spend</t>
        </is>
      </c>
      <c r="E25" s="3" t="inlineStr">
        <is>
          <t xml:space="preserve">Every category added up. The number nobody can act on.</t>
        </is>
      </c>
    </row>
    <row r="26">
      <c r="A26" s="0" t="inlineStr">
        <is>
          <t xml:space="preserve">Storage saving</t>
        </is>
      </c>
      <c r="B26" s="5">
        <f>$B$9*$B$14/100</f>
        <v>30000</v>
      </c>
      <c r="C26" s="0" t="inlineStr">
        <is>
          <t xml:space="preserve">USD per year</t>
        </is>
      </c>
      <c r="D26" s="3" t="inlineStr">
        <is>
          <t xml:space="preserve">Storage annual spend × Storage cut ÷ 100</t>
        </is>
      </c>
      <c r="E26" s="3" t="inlineStr">
        <is>
          <t xml:space="preserve">Spend times cut percentage. Compare this against how much the storage cut hurts.</t>
        </is>
      </c>
    </row>
    <row r="27">
      <c r="A27" s="0" t="inlineStr">
        <is>
          <t xml:space="preserve">Compute saving</t>
        </is>
      </c>
      <c r="B27" s="5">
        <f>$B$10*$B$15/100</f>
        <v>225000</v>
      </c>
      <c r="C27" s="0" t="inlineStr">
        <is>
          <t xml:space="preserve">USD per year</t>
        </is>
      </c>
      <c r="D27" s="3" t="inlineStr">
        <is>
          <t xml:space="preserve">Compute annual spend × Compute cut ÷ 100</t>
        </is>
      </c>
      <c r="E27" s="3" t="inlineStr">
        <is>
          <t xml:space="preserve">Spend times cut percentage. Compare this against how much the compute cut hurts.</t>
        </is>
      </c>
    </row>
    <row r="28">
      <c r="A28" s="0" t="inlineStr">
        <is>
          <t xml:space="preserve">Ingestion saving</t>
        </is>
      </c>
      <c r="B28" s="5">
        <f>$B$11*$B$16/100</f>
        <v>30000</v>
      </c>
      <c r="C28" s="0" t="inlineStr">
        <is>
          <t xml:space="preserve">USD per year</t>
        </is>
      </c>
      <c r="D28" s="3" t="inlineStr">
        <is>
          <t xml:space="preserve">Ingestion annual spend × Ingestion cut ÷ 100</t>
        </is>
      </c>
      <c r="E28" s="3" t="inlineStr">
        <is>
          <t xml:space="preserve">Spend times cut percentage. Compare this against how much the ingestion cut hurts.</t>
        </is>
      </c>
    </row>
    <row r="29">
      <c r="A29" s="0" t="inlineStr">
        <is>
          <t xml:space="preserve">Observability saving</t>
        </is>
      </c>
      <c r="B29" s="5">
        <f>$B$12*$B$17/100</f>
        <v>7500</v>
      </c>
      <c r="C29" s="0" t="inlineStr">
        <is>
          <t xml:space="preserve">USD per year</t>
        </is>
      </c>
      <c r="D29" s="3" t="inlineStr">
        <is>
          <t xml:space="preserve">Observability annual spend × Observability cut ÷ 100</t>
        </is>
      </c>
      <c r="E29" s="3" t="inlineStr">
        <is>
          <t xml:space="preserve">Spend times cut percentage. Compare this against how much the observability cut hurts.</t>
        </is>
      </c>
    </row>
    <row r="30">
      <c r="A30" s="0" t="inlineStr">
        <is>
          <t xml:space="preserve">Licences saving</t>
        </is>
      </c>
      <c r="B30" s="5">
        <f>$B$13*$B$18/100</f>
        <v>75000</v>
      </c>
      <c r="C30" s="0" t="inlineStr">
        <is>
          <t xml:space="preserve">USD per year</t>
        </is>
      </c>
      <c r="D30" s="3" t="inlineStr">
        <is>
          <t xml:space="preserve">Licences annual spend × Licences cut ÷ 100</t>
        </is>
      </c>
      <c r="E30" s="3" t="inlineStr">
        <is>
          <t xml:space="preserve">Spend times cut percentage. Compare this against how much the licences cut hurts.</t>
        </is>
      </c>
    </row>
    <row r="31">
      <c r="A31" s="0" t="inlineStr">
        <is>
          <t xml:space="preserve">Total saving</t>
        </is>
      </c>
      <c r="B31" s="5">
        <f>$B$26+$B$27+$B$28+$B$29+$B$30</f>
        <v>367500</v>
      </c>
      <c r="C31" s="0" t="inlineStr">
        <is>
          <t xml:space="preserve">USD per year</t>
        </is>
      </c>
      <c r="D31" s="3" t="inlineStr">
        <is>
          <t xml:space="preserve">Storage saving + Compute saving + Ingestion saving + Observability saving + Licences saving</t>
        </is>
      </c>
      <c r="E31" s="3" t="inlineStr">
        <is>
          <t xml:space="preserve">What this plan actually removes from next year's bill.</t>
        </is>
      </c>
    </row>
    <row r="32">
      <c r="A32" s="0" t="inlineStr">
        <is>
          <t xml:space="preserve">Spend after the cuts</t>
        </is>
      </c>
      <c r="B32" s="4">
        <f>$B$25-$B$31</f>
        <v>1432500</v>
      </c>
      <c r="C32" s="0" t="inlineStr">
        <is>
          <t xml:space="preserve">USD per year</t>
        </is>
      </c>
      <c r="D32" s="3" t="inlineStr">
        <is>
          <t xml:space="preserve">Total annual platform spend - Total saving</t>
        </is>
      </c>
      <c r="E32" s="3" t="inlineStr">
        <is>
          <t xml:space="preserve">The figure both unit-economics lines below are computed from.</t>
        </is>
      </c>
    </row>
    <row r="33">
      <c r="A33" s="0" t="inlineStr">
        <is>
          <t xml:space="preserve">Reduction achieved</t>
        </is>
      </c>
      <c r="B33" s="4">
        <f>$B$31/$B$25*100</f>
        <v>20.416666666666668</v>
      </c>
      <c r="C33" s="0" t="inlineStr">
        <is>
          <t xml:space="preserve">percent</t>
        </is>
      </c>
      <c r="D33" s="3" t="inlineStr">
        <is>
          <t xml:space="preserve">Total saving ÷ Total annual platform spend × 100</t>
        </is>
      </c>
      <c r="E33" s="3" t="inlineStr">
        <is>
          <t xml:space="preserve">Total saving as a share of total spend.</t>
        </is>
      </c>
    </row>
    <row r="34">
      <c r="A34" s="0" t="inlineStr">
        <is>
          <t xml:space="preserve">Gap to target</t>
        </is>
      </c>
      <c r="B34" s="5" t="str">
        <f>IF($B$6/100*$B$25-$B$31&gt;0,$B$6/100*$B$25-$B$31,"Target met")</f>
        <v>Target met</v>
      </c>
      <c r="C34" s="0" t="inlineStr">
        <is>
          <t xml:space="preserve">USD per year</t>
        </is>
      </c>
      <c r="D34" s="3" t="inlineStr">
        <is>
          <t xml:space="preserve">IF(Target reduction ÷ 100 × Total annual platform spend - Total saving&gt;0,Target reduction ÷ 100 × Total annual platform spend - Total saving,"Target met")</t>
        </is>
      </c>
      <c r="E34" s="3" t="inlineStr">
        <is>
          <t xml:space="preserve">What is still missing. A plan that is short is not a plan, it is a direction.</t>
        </is>
      </c>
    </row>
    <row r="35">
      <c r="A35" s="0" t="inlineStr">
        <is>
          <t xml:space="preserve">Cost per query, before</t>
        </is>
      </c>
      <c r="B35" s="6">
        <f>$B$25/$B$7</f>
        <v>0.45</v>
      </c>
      <c r="C35" s="0" t="inlineStr">
        <is>
          <t xml:space="preserve">USD</t>
        </is>
      </c>
      <c r="D35" s="3" t="inlineStr">
        <is>
          <t xml:space="preserve">Total annual platform spend ÷ Queries per year</t>
        </is>
      </c>
      <c r="E35" s="3" t="inlineStr">
        <is>
          <t xml:space="preserve">This is the FinOps unit, not the total.</t>
        </is>
      </c>
    </row>
    <row r="36">
      <c r="A36" s="0" t="inlineStr">
        <is>
          <t xml:space="preserve">Cost per query, after</t>
        </is>
      </c>
      <c r="B36" s="6">
        <f>$B$32/$B$7</f>
        <v>0.358125</v>
      </c>
      <c r="C36" s="0" t="inlineStr">
        <is>
          <t xml:space="preserve">USD</t>
        </is>
      </c>
      <c r="D36" s="3" t="inlineStr">
        <is>
          <t xml:space="preserve">Spend after the cuts ÷ Queries per year</t>
        </is>
      </c>
      <c r="E36" s="3" t="inlineStr">
        <is>
          <t xml:space="preserve"/>
        </is>
      </c>
    </row>
    <row r="37">
      <c r="A37" s="0" t="inlineStr">
        <is>
          <t xml:space="preserve">Cost per active user per year, before</t>
        </is>
      </c>
      <c r="B37" s="6">
        <f>$B$25/$B$8</f>
        <v>2117.6470588235293</v>
      </c>
      <c r="C37" s="0" t="inlineStr">
        <is>
          <t xml:space="preserve">USD</t>
        </is>
      </c>
      <c r="D37" s="3" t="inlineStr">
        <is>
          <t xml:space="preserve">Total annual platform spend ÷ Monthly active users</t>
        </is>
      </c>
      <c r="E37" s="3" t="inlineStr">
        <is>
          <t xml:space="preserve">Denominates the platform in people rather than infrastructure.</t>
        </is>
      </c>
    </row>
    <row r="38">
      <c r="A38" s="0" t="inlineStr">
        <is>
          <t xml:space="preserve">Cost per active user per year, after</t>
        </is>
      </c>
      <c r="B38" s="6">
        <f>$B$32/$B$8</f>
        <v>1685.2941176470588</v>
      </c>
      <c r="C38" s="0" t="inlineStr">
        <is>
          <t xml:space="preserve">USD</t>
        </is>
      </c>
      <c r="D38" s="3" t="inlineStr">
        <is>
          <t xml:space="preserve">Spend after the cuts ÷ Monthly active users</t>
        </is>
      </c>
      <c r="E38" s="3" t="inlineStr">
        <is>
          <t xml:space="preserve"/>
        </is>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6: Build Versus Buy Break-Even</t>
        </is>
      </c>
    </row>
    <row r="2">
      <c r="A2" s="3" t="inlineStr">
        <is>
          <t xml:space="preserve">Build or buy. Show the break-even in months and name the single assumption the answer hinges on.</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Vendor monthly price</t>
        </is>
      </c>
      <c r="B6" s="4">
        <v>9000</v>
      </c>
      <c r="C6" s="0" t="inlineStr">
        <is>
          <t xml:space="preserve">USD per month</t>
        </is>
      </c>
      <c r="D6" s="3" t="inlineStr">
        <is>
          <t xml:space="preserve">The quoted price, dated.</t>
        </is>
      </c>
    </row>
    <row r="7">
      <c r="A7" s="0" t="inlineStr">
        <is>
          <t xml:space="preserve">Price retrieved on</t>
        </is>
      </c>
      <c r="B7" s="7">
        <v>46249</v>
      </c>
      <c r="C7" s="0" t="inlineStr">
        <is>
          <t xml:space="preserve">date</t>
        </is>
      </c>
      <c r="D7" s="3" t="inlineStr">
        <is>
          <t xml:space="preserve">An undated price is not evidence.</t>
        </is>
      </c>
    </row>
    <row r="8">
      <c r="A8" s="0" t="inlineStr">
        <is>
          <t xml:space="preserve">One-time build effort</t>
        </is>
      </c>
      <c r="B8" s="4">
        <v>900</v>
      </c>
      <c r="C8" s="0" t="inlineStr">
        <is>
          <t xml:space="preserve">hours</t>
        </is>
      </c>
      <c r="D8" s="3" t="inlineStr">
        <is>
          <t xml:space="preserve">Engineering to first production use.</t>
        </is>
      </c>
    </row>
    <row r="9">
      <c r="A9" s="0" t="inlineStr">
        <is>
          <t xml:space="preserve">Blended hourly cost</t>
        </is>
      </c>
      <c r="B9" s="4">
        <v>140</v>
      </c>
      <c r="C9" s="0" t="inlineStr">
        <is>
          <t xml:space="preserve">USD per hour</t>
        </is>
      </c>
      <c r="D9" s="3" t="inlineStr">
        <is>
          <t xml:space="preserve">Fully loaded, not salary divided by 2,080.</t>
        </is>
      </c>
    </row>
    <row r="10">
      <c r="A10" s="0" t="inlineStr">
        <is>
          <t xml:space="preserve">Maintenance effort</t>
        </is>
      </c>
      <c r="B10" s="4">
        <v>30</v>
      </c>
      <c r="C10" s="0" t="inlineStr">
        <is>
          <t xml:space="preserve">hours per month</t>
        </is>
      </c>
      <c r="D10" s="3" t="inlineStr">
        <is>
          <t xml:space="preserve">The figure teams underestimate most.</t>
        </is>
      </c>
    </row>
    <row r="11">
      <c r="A11" s="0" t="inlineStr">
        <is>
          <t xml:space="preserve">Infrastructure for the build</t>
        </is>
      </c>
      <c r="B11" s="4">
        <v>1200</v>
      </c>
      <c r="C11" s="0" t="inlineStr">
        <is>
          <t xml:space="preserve">USD per month</t>
        </is>
      </c>
      <c r="D11" s="3" t="inlineStr">
        <is>
          <t xml:space="preserve">A vendor price already includes theirs.</t>
        </is>
      </c>
    </row>
    <row r="12">
      <c r="A12" s="0" t="inlineStr">
        <is>
          <t xml:space="preserve">Evaluation horizon</t>
        </is>
      </c>
      <c r="B12" s="4">
        <v>36</v>
      </c>
      <c r="C12" s="0" t="inlineStr">
        <is>
          <t xml:space="preserve">months</t>
        </is>
      </c>
      <c r="D12" s="3" t="inlineStr">
        <is>
          <t xml:space="preserve">It frequently decides the answer by itself.</t>
        </is>
      </c>
    </row>
    <row r="14">
      <c r="A14" s="2" t="inlineStr">
        <is>
          <t xml:space="preserve">RATES AND CONSTANTS</t>
        </is>
      </c>
      <c r="E14" s="3" t="inlineStr">
        <is>
          <t xml:space="preserve">Published list prices link to the Rates sheet. Change a price there and every week that uses it follows.</t>
        </is>
      </c>
    </row>
    <row r="15">
      <c r="A15" s="8" t="inlineStr">
        <is>
          <t xml:space="preserve">Item</t>
        </is>
      </c>
      <c r="B15" s="8" t="inlineStr">
        <is>
          <t xml:space="preserve">Value</t>
        </is>
      </c>
      <c r="C15" s="8" t="inlineStr">
        <is>
          <t xml:space="preserve">Unit</t>
        </is>
      </c>
      <c r="D15" s="8" t="inlineStr">
        <is>
          <t xml:space="preserve">Source and note</t>
        </is>
      </c>
    </row>
    <row r="17">
      <c r="A17" s="2" t="inlineStr">
        <is>
          <t xml:space="preserve">COMPUTED</t>
        </is>
      </c>
      <c r="E17" s="3" t="inlineStr">
        <is>
          <t xml:space="preserve">Each cell holds the formula shown in column D. Nothing here is typed in by hand.</t>
        </is>
      </c>
    </row>
    <row r="18">
      <c r="A18" s="8" t="inlineStr">
        <is>
          <t xml:space="preserve">Figure</t>
        </is>
      </c>
      <c r="B18" s="8" t="inlineStr">
        <is>
          <t xml:space="preserve">Value</t>
        </is>
      </c>
      <c r="C18" s="8" t="inlineStr">
        <is>
          <t xml:space="preserve">Unit</t>
        </is>
      </c>
      <c r="D18" s="8" t="inlineStr">
        <is>
          <t xml:space="preserve">Equation in words</t>
        </is>
      </c>
      <c r="E18" s="8" t="inlineStr">
        <is>
          <t xml:space="preserve">Note</t>
        </is>
      </c>
    </row>
    <row r="19">
      <c r="A19" s="0" t="inlineStr">
        <is>
          <t xml:space="preserve">One-time build cost</t>
        </is>
      </c>
      <c r="B19" s="5">
        <f>$B$8*$B$9</f>
        <v>126000</v>
      </c>
      <c r="C19" s="0" t="inlineStr">
        <is>
          <t xml:space="preserve">USD</t>
        </is>
      </c>
      <c r="D19" s="3" t="inlineStr">
        <is>
          <t xml:space="preserve">One-time build effort × Blended hourly cost</t>
        </is>
      </c>
      <c r="E19" s="3" t="inlineStr">
        <is>
          <t xml:space="preserve">Paid once, before any value arrives.</t>
        </is>
      </c>
    </row>
    <row r="20">
      <c r="A20" s="0" t="inlineStr">
        <is>
          <t xml:space="preserve">Build running cost per month</t>
        </is>
      </c>
      <c r="B20" s="5">
        <f>$B$10*$B$9+$B$11</f>
        <v>5400</v>
      </c>
      <c r="C20" s="0" t="inlineStr">
        <is>
          <t xml:space="preserve">USD per month</t>
        </is>
      </c>
      <c r="D20" s="3" t="inlineStr">
        <is>
          <t xml:space="preserve">Maintenance effort × Blended hourly cost + Infrastructure for the build</t>
        </is>
      </c>
      <c r="E20" s="3" t="inlineStr">
        <is>
          <t xml:space="preserve">Maintenance labour plus infrastructure. This recurs forever, unlike the build.</t>
        </is>
      </c>
    </row>
    <row r="21">
      <c r="A21" s="0" t="inlineStr">
        <is>
          <t xml:space="preserve">Monthly saving from building</t>
        </is>
      </c>
      <c r="B21" s="5">
        <f>$B$6-$B$20</f>
        <v>3600</v>
      </c>
      <c r="C21" s="0" t="inlineStr">
        <is>
          <t xml:space="preserve">USD per month</t>
        </is>
      </c>
      <c r="D21" s="3" t="inlineStr">
        <is>
          <t xml:space="preserve">Vendor monthly price - Build running cost per month</t>
        </is>
      </c>
      <c r="E21" s="3" t="inlineStr">
        <is>
          <t xml:space="preserve">If this is not positive, building never repays and the application prints None.</t>
        </is>
      </c>
    </row>
    <row r="22">
      <c r="A22" s="0" t="inlineStr">
        <is>
          <t xml:space="preserve">Break-even</t>
        </is>
      </c>
      <c r="B22" s="4">
        <f>IF($B$21&gt;0,$B$19/$B$21,"Never")</f>
        <v>35</v>
      </c>
      <c r="C22" s="0" t="inlineStr">
        <is>
          <t xml:space="preserve">months</t>
        </is>
      </c>
      <c r="D22" s="3" t="inlineStr">
        <is>
          <t xml:space="preserve">IF(Monthly saving from building&gt;0,One-time build cost ÷ Monthly saving from building,"Never")</t>
        </is>
      </c>
      <c r="E22" s="3" t="inlineStr">
        <is>
          <t xml:space="preserve">The month cumulative build cost equals cumulative vendor cost.</t>
        </is>
      </c>
    </row>
    <row r="23">
      <c r="A23" s="0" t="inlineStr">
        <is>
          <t xml:space="preserve">Maintenance over the horizon</t>
        </is>
      </c>
      <c r="B23" s="5">
        <f>$B$10*$B$9*$B$12</f>
        <v>151200</v>
      </c>
      <c r="C23" s="0" t="inlineStr">
        <is>
          <t xml:space="preserve">USD</t>
        </is>
      </c>
      <c r="D23" s="3" t="inlineStr">
        <is>
          <t xml:space="preserve">Maintenance effort × Blended hourly cost × Evaluation horizon</t>
        </is>
      </c>
      <c r="E23" s="3" t="inlineStr">
        <is>
          <t xml:space="preserve">Charted in the application as part of what the build costs.</t>
        </is>
      </c>
    </row>
    <row r="24">
      <c r="A24" s="0" t="inlineStr">
        <is>
          <t xml:space="preserve">Infrastructure over the horizon</t>
        </is>
      </c>
      <c r="B24" s="5">
        <f>$B$11*$B$12</f>
        <v>43200</v>
      </c>
      <c r="C24" s="0" t="inlineStr">
        <is>
          <t xml:space="preserve">USD</t>
        </is>
      </c>
      <c r="D24" s="3" t="inlineStr">
        <is>
          <t xml:space="preserve">Infrastructure for the build × Evaluation horizon</t>
        </is>
      </c>
      <c r="E24" s="3" t="inlineStr">
        <is>
          <t xml:space="preserve">Charted in the application as part of what the build costs.</t>
        </is>
      </c>
    </row>
    <row r="25">
      <c r="A25" s="0" t="inlineStr">
        <is>
          <t xml:space="preserve">Build total over the horizon</t>
        </is>
      </c>
      <c r="B25" s="5">
        <f>$B$19+$B$20*$B$12</f>
        <v>320400</v>
      </c>
      <c r="C25" s="0" t="inlineStr">
        <is>
          <t xml:space="preserve">USD</t>
        </is>
      </c>
      <c r="D25" s="3" t="inlineStr">
        <is>
          <t xml:space="preserve">One-time build cost + Build running cost per month × Evaluation horizon</t>
        </is>
      </c>
      <c r="E25" s="3" t="inlineStr">
        <is>
          <t xml:space="preserve"/>
        </is>
      </c>
    </row>
    <row r="26">
      <c r="A26" s="0" t="inlineStr">
        <is>
          <t xml:space="preserve">Vendor total over the horizon</t>
        </is>
      </c>
      <c r="B26" s="5">
        <f>$B$6*$B$12</f>
        <v>324000</v>
      </c>
      <c r="C26" s="0" t="inlineStr">
        <is>
          <t xml:space="preserve">USD</t>
        </is>
      </c>
      <c r="D26" s="3" t="inlineStr">
        <is>
          <t xml:space="preserve">Vendor monthly price × Evaluation horizon</t>
        </is>
      </c>
      <c r="E26" s="3" t="inlineStr">
        <is>
          <t xml:space="preserve">Monthly price times the horizon, assuming the price holds.</t>
        </is>
      </c>
    </row>
    <row r="27">
      <c r="A27" s="0" t="inlineStr">
        <is>
          <t xml:space="preserve">Difference over the horizon</t>
        </is>
      </c>
      <c r="B27" s="5">
        <f>ABS($B$25-$B$26)</f>
        <v>3600</v>
      </c>
      <c r="C27" s="0" t="inlineStr">
        <is>
          <t xml:space="preserve">USD</t>
        </is>
      </c>
      <c r="D27" s="3" t="inlineStr">
        <is>
          <t xml:space="preserve">ABS(Build total over the horizon - Vendor total over the horizon)</t>
        </is>
      </c>
      <c r="E27" s="3" t="inlineStr">
        <is>
          <t xml:space="preserve">The size of the bet you are making on your own maintenance estimate.</t>
        </is>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7: Reliability Control Pricing</t>
        </is>
      </c>
    </row>
    <row r="2">
      <c r="A2" s="3" t="inlineStr">
        <is>
          <t xml:space="preserve">Which single control would have caught this incident, what does it cost per year, and how much faster would you have known?</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Control name</t>
        </is>
      </c>
      <c r="B6" s="0" t="inlineStr">
        <is>
          <t xml:space="preserve">Freshness SLA monitor on the orders table</t>
        </is>
      </c>
      <c r="C6" s="0" t="inlineStr">
        <is>
          <t xml:space="preserve"/>
        </is>
      </c>
      <c r="D6" s="3" t="inlineStr">
        <is>
          <t xml:space="preserve">One control, not a programme.</t>
        </is>
      </c>
    </row>
    <row r="7">
      <c r="A7" s="0" t="inlineStr">
        <is>
          <t xml:space="preserve">Annual tooling cost</t>
        </is>
      </c>
      <c r="B7" s="4">
        <v>48000</v>
      </c>
      <c r="C7" s="0" t="inlineStr">
        <is>
          <t xml:space="preserve">USD per year</t>
        </is>
      </c>
      <c r="D7" s="3" t="inlineStr">
        <is>
          <t xml:space="preserve">Licence or subscription.</t>
        </is>
      </c>
    </row>
    <row r="8">
      <c r="A8" s="0" t="inlineStr">
        <is>
          <t xml:space="preserve">Setup effort</t>
        </is>
      </c>
      <c r="B8" s="4">
        <v>120</v>
      </c>
      <c r="C8" s="0" t="inlineStr">
        <is>
          <t xml:space="preserve">hours</t>
        </is>
      </c>
      <c r="D8" s="3" t="inlineStr">
        <is>
          <t xml:space="preserve">One-time integration, paid in year one only.</t>
        </is>
      </c>
    </row>
    <row r="9">
      <c r="A9" s="0" t="inlineStr">
        <is>
          <t xml:space="preserve">Operating effort</t>
        </is>
      </c>
      <c r="B9" s="4">
        <v>8</v>
      </c>
      <c r="C9" s="0" t="inlineStr">
        <is>
          <t xml:space="preserve">hours per month</t>
        </is>
      </c>
      <c r="D9" s="3" t="inlineStr">
        <is>
          <t xml:space="preserve">Tuning, triage, and acting on what it finds.</t>
        </is>
      </c>
    </row>
    <row r="10">
      <c r="A10" s="0" t="inlineStr">
        <is>
          <t xml:space="preserve">Blended hourly cost</t>
        </is>
      </c>
      <c r="B10" s="4">
        <v>140</v>
      </c>
      <c r="C10" s="0" t="inlineStr">
        <is>
          <t xml:space="preserve">USD per hour</t>
        </is>
      </c>
      <c r="D10" s="3" t="inlineStr">
        <is>
          <t xml:space="preserve">Fully loaded cost of an engineering hour.</t>
        </is>
      </c>
    </row>
    <row r="11">
      <c r="A11" s="0" t="inlineStr">
        <is>
          <t xml:space="preserve">Cost of one incident</t>
        </is>
      </c>
      <c r="B11" s="4">
        <v>400000</v>
      </c>
      <c r="C11" s="0" t="inlineStr">
        <is>
          <t xml:space="preserve">USD</t>
        </is>
      </c>
      <c r="D11" s="3" t="inlineStr">
        <is>
          <t xml:space="preserve">Including the work to recover from it.</t>
        </is>
      </c>
    </row>
    <row r="12">
      <c r="A12" s="0" t="inlineStr">
        <is>
          <t xml:space="preserve">Expected incidents per year</t>
        </is>
      </c>
      <c r="B12" s="4">
        <v>1.5</v>
      </c>
      <c r="C12" s="0" t="inlineStr">
        <is>
          <t xml:space="preserve">incidents</t>
        </is>
      </c>
      <c r="D12" s="3" t="inlineStr">
        <is>
          <t xml:space="preserve">From your own history or the assigned post-mortem.</t>
        </is>
      </c>
    </row>
    <row r="13">
      <c r="A13" s="0" t="inlineStr">
        <is>
          <t xml:space="preserve">Share of incidents caught</t>
        </is>
      </c>
      <c r="B13" s="4">
        <v>60</v>
      </c>
      <c r="C13" s="0" t="inlineStr">
        <is>
          <t xml:space="preserve">percent</t>
        </is>
      </c>
      <c r="D13" s="3" t="inlineStr">
        <is>
          <t xml:space="preserve">What it would actually have caught.</t>
        </is>
      </c>
    </row>
    <row r="14">
      <c r="A14" s="0" t="inlineStr">
        <is>
          <t xml:space="preserve">Hours to detect today</t>
        </is>
      </c>
      <c r="B14" s="4">
        <v>18</v>
      </c>
      <c r="C14" s="0" t="inlineStr">
        <is>
          <t xml:space="preserve">hours</t>
        </is>
      </c>
      <c r="D14" s="3" t="inlineStr">
        <is>
          <t xml:space="preserve">The multiplier on every other cost.</t>
        </is>
      </c>
    </row>
    <row r="15">
      <c r="A15" s="0" t="inlineStr">
        <is>
          <t xml:space="preserve">Hours to detect with the control</t>
        </is>
      </c>
      <c r="B15" s="4">
        <v>1</v>
      </c>
      <c r="C15" s="0" t="inlineStr">
        <is>
          <t xml:space="preserve">hours</t>
        </is>
      </c>
      <c r="D15" s="3" t="inlineStr">
        <is>
          <t xml:space="preserve">What this control changes.</t>
        </is>
      </c>
    </row>
    <row r="17">
      <c r="A17" s="2" t="inlineStr">
        <is>
          <t xml:space="preserve">RATES AND CONSTANTS</t>
        </is>
      </c>
      <c r="E17" s="3" t="inlineStr">
        <is>
          <t xml:space="preserve">Published list prices link to the Rates sheet. Change a price there and every week that uses it follows.</t>
        </is>
      </c>
    </row>
    <row r="18">
      <c r="A18" s="8" t="inlineStr">
        <is>
          <t xml:space="preserve">Item</t>
        </is>
      </c>
      <c r="B18" s="8" t="inlineStr">
        <is>
          <t xml:space="preserve">Value</t>
        </is>
      </c>
      <c r="C18" s="8" t="inlineStr">
        <is>
          <t xml:space="preserve">Unit</t>
        </is>
      </c>
      <c r="D18" s="8" t="inlineStr">
        <is>
          <t xml:space="preserve">Source and note</t>
        </is>
      </c>
    </row>
    <row r="19">
      <c r="A19" s="0" t="inlineStr">
        <is>
          <t xml:space="preserve">Months per year</t>
        </is>
      </c>
      <c r="B19" s="4">
        <v>12</v>
      </c>
      <c r="C19" s="0" t="inlineStr">
        <is>
          <t xml:space="preserve">months</t>
        </is>
      </c>
      <c r="D19" s="3" t="inlineStr">
        <is>
          <t xml:space="preserve"/>
        </is>
      </c>
    </row>
    <row r="21">
      <c r="A21" s="2" t="inlineStr">
        <is>
          <t xml:space="preserve">COMPUTED</t>
        </is>
      </c>
      <c r="E21" s="3" t="inlineStr">
        <is>
          <t xml:space="preserve">Each cell holds the formula shown in column D. Nothing here is typed in by hand.</t>
        </is>
      </c>
    </row>
    <row r="22">
      <c r="A22" s="8" t="inlineStr">
        <is>
          <t xml:space="preserve">Figure</t>
        </is>
      </c>
      <c r="B22" s="8" t="inlineStr">
        <is>
          <t xml:space="preserve">Value</t>
        </is>
      </c>
      <c r="C22" s="8" t="inlineStr">
        <is>
          <t xml:space="preserve">Unit</t>
        </is>
      </c>
      <c r="D22" s="8" t="inlineStr">
        <is>
          <t xml:space="preserve">Equation in words</t>
        </is>
      </c>
      <c r="E22" s="8" t="inlineStr">
        <is>
          <t xml:space="preserve">Note</t>
        </is>
      </c>
    </row>
    <row r="23">
      <c r="A23" s="0" t="inlineStr">
        <is>
          <t xml:space="preserve">Steady-state annual cost</t>
        </is>
      </c>
      <c r="B23" s="5">
        <f>$B$7+$B$9*$B$19*$B$10</f>
        <v>61440</v>
      </c>
      <c r="C23" s="0" t="inlineStr">
        <is>
          <t xml:space="preserve">USD per year</t>
        </is>
      </c>
      <c r="D23" s="3" t="inlineStr">
        <is>
          <t xml:space="preserve">Annual tooling cost + Operating effort × Months per year × Blended hourly cost</t>
        </is>
      </c>
      <c r="E23" s="3" t="inlineStr">
        <is>
          <t xml:space="preserve">What it costs every year after the first. This is the number to compare against.</t>
        </is>
      </c>
    </row>
    <row r="24">
      <c r="A24" s="0" t="inlineStr">
        <is>
          <t xml:space="preserve">Year one cost</t>
        </is>
      </c>
      <c r="B24" s="5">
        <f>$B$23+$B$8*$B$10</f>
        <v>78240</v>
      </c>
      <c r="C24" s="0" t="inlineStr">
        <is>
          <t xml:space="preserve">USD</t>
        </is>
      </c>
      <c r="D24" s="3" t="inlineStr">
        <is>
          <t xml:space="preserve">Steady-state annual cost + Setup effort × Blended hourly cost</t>
        </is>
      </c>
      <c r="E24" s="3" t="inlineStr">
        <is>
          <t xml:space="preserve">Tooling plus setup plus a year of operating effort.</t>
        </is>
      </c>
    </row>
    <row r="25">
      <c r="A25" s="0" t="inlineStr">
        <is>
          <t xml:space="preserve">Annual incident exposure</t>
        </is>
      </c>
      <c r="B25" s="5">
        <f>$B$11*$B$12</f>
        <v>600000</v>
      </c>
      <c r="C25" s="0" t="inlineStr">
        <is>
          <t xml:space="preserve">USD per year</t>
        </is>
      </c>
      <c r="D25" s="3" t="inlineStr">
        <is>
          <t xml:space="preserve">Cost of one incident × Expected incidents per year</t>
        </is>
      </c>
      <c r="E25" s="3" t="inlineStr">
        <is>
          <t xml:space="preserve">With no control in place.</t>
        </is>
      </c>
    </row>
    <row r="26">
      <c r="A26" s="0" t="inlineStr">
        <is>
          <t xml:space="preserve">Exposure avoided</t>
        </is>
      </c>
      <c r="B26" s="5">
        <f>$B$25*$B$13/100</f>
        <v>360000</v>
      </c>
      <c r="C26" s="0" t="inlineStr">
        <is>
          <t xml:space="preserve">USD per year</t>
        </is>
      </c>
      <c r="D26" s="3" t="inlineStr">
        <is>
          <t xml:space="preserve">Annual incident exposure × Share of incidents caught ÷ 100</t>
        </is>
      </c>
      <c r="E26" s="3" t="inlineStr">
        <is>
          <t xml:space="preserve">Exposure this control removes, if your catch rate estimate holds.</t>
        </is>
      </c>
    </row>
    <row r="27">
      <c r="A27" s="0" t="inlineStr">
        <is>
          <t xml:space="preserve">Net annual position</t>
        </is>
      </c>
      <c r="B27" s="5">
        <f>$B$26-$B$23</f>
        <v>298560</v>
      </c>
      <c r="C27" s="0" t="inlineStr">
        <is>
          <t xml:space="preserve">USD per year</t>
        </is>
      </c>
      <c r="D27" s="3" t="inlineStr">
        <is>
          <t xml:space="preserve">Exposure avoided - Steady-state annual cost</t>
        </is>
      </c>
      <c r="E27" s="3" t="inlineStr">
        <is>
          <t xml:space="preserve">Positive is not the same as fundable.</t>
        </is>
      </c>
    </row>
    <row r="28">
      <c r="A28" s="0" t="inlineStr">
        <is>
          <t xml:space="preserve">Incidents caught per year</t>
        </is>
      </c>
      <c r="B28" s="4">
        <f>$B$12*$B$13/100</f>
        <v>0.9</v>
      </c>
      <c r="C28" s="0" t="inlineStr">
        <is>
          <t xml:space="preserve">incidents</t>
        </is>
      </c>
      <c r="D28" s="3" t="inlineStr">
        <is>
          <t xml:space="preserve">Expected incidents per year × Share of incidents caught ÷ 100</t>
        </is>
      </c>
      <c r="E28" s="3" t="inlineStr">
        <is>
          <t xml:space="preserve">The denominator of the cost per incident caught below.</t>
        </is>
      </c>
    </row>
    <row r="29">
      <c r="A29" s="0" t="inlineStr">
        <is>
          <t xml:space="preserve">Cost per incident caught</t>
        </is>
      </c>
      <c r="B29" s="5">
        <f>IF($B$28=0,0,$B$23/$B$28)</f>
        <v>68266.66666666667</v>
      </c>
      <c r="C29" s="0" t="inlineStr">
        <is>
          <t xml:space="preserve">USD</t>
        </is>
      </c>
      <c r="D29" s="3" t="inlineStr">
        <is>
          <t xml:space="preserve">IF(Incidents caught per year=0,0,Steady-state annual cost ÷ Incidents caught per year)</t>
        </is>
      </c>
      <c r="E29" s="3" t="inlineStr">
        <is>
          <t xml:space="preserve">The unit economics of reliability.</t>
        </is>
      </c>
    </row>
    <row r="30">
      <c r="A30" s="0" t="inlineStr">
        <is>
          <t xml:space="preserve">Detection time factor</t>
        </is>
      </c>
      <c r="B30" s="4">
        <f>IF($B$14=0,1,$B$15/$B$14)</f>
        <v>0.05555555555555555</v>
      </c>
      <c r="C30" s="0" t="inlineStr">
        <is>
          <t xml:space="preserve">x</t>
        </is>
      </c>
      <c r="D30" s="3" t="inlineStr">
        <is>
          <t xml:space="preserve">IF(Hours to detect today=0,1,Hours to detect with the control ÷ Hours to detect today)</t>
        </is>
      </c>
      <c r="E30" s="3" t="inlineStr">
        <is>
          <t xml:space="preserve">How much shorter an incident runs once the control exists.</t>
        </is>
      </c>
    </row>
    <row r="31">
      <c r="A31" s="0" t="inlineStr">
        <is>
          <t xml:space="preserve">Residual exposure after detection speed-up</t>
        </is>
      </c>
      <c r="B31" s="5">
        <f>($B$25-$B$26)*$B$30</f>
        <v>13333.333333333332</v>
      </c>
      <c r="C31" s="0" t="inlineStr">
        <is>
          <t xml:space="preserve">USD per year</t>
        </is>
      </c>
      <c r="D31" s="3" t="inlineStr">
        <is>
          <t xml:space="preserve">(Annual incident exposure - Exposure avoided) × Detection time factor</t>
        </is>
      </c>
      <c r="E31" s="3" t="inlineStr">
        <is>
          <t xml:space="preserve">Exposure from missed incidents, scaled by the shorter time they now run.</t>
        </is>
      </c>
    </row>
  </sheetData>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8: Operating Model Weighting and Staffing Cost</t>
        </is>
      </c>
    </row>
    <row r="2">
      <c r="A2" s="3" t="inlineStr">
        <is>
          <t xml:space="preserve">Centralize or federate data ownership. Defend the choice against its strongest counterargument, not its weakest.</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Speed of change weight</t>
        </is>
      </c>
      <c r="B6" s="4">
        <v>8</v>
      </c>
      <c r="C6" s="0" t="inlineStr">
        <is>
          <t xml:space="preserve">0 to 10</t>
        </is>
      </c>
      <c r="D6" s="3" t="inlineStr">
        <is>
          <t xml:space="preserve">How much this criterion matters to your case organization.</t>
        </is>
      </c>
    </row>
    <row r="7">
      <c r="A7" s="0" t="inlineStr">
        <is>
          <t xml:space="preserve">Speed of change, centralized score</t>
        </is>
      </c>
      <c r="B7" s="4">
        <v>4</v>
      </c>
      <c r="C7" s="0" t="inlineStr">
        <is>
          <t xml:space="preserve">0 to 10</t>
        </is>
      </c>
      <c r="D7" s="3" t="inlineStr">
        <is>
          <t xml:space="preserve">Your judgment of how the centralized model performs here.</t>
        </is>
      </c>
    </row>
    <row r="8">
      <c r="A8" s="0" t="inlineStr">
        <is>
          <t xml:space="preserve">Speed of change, federated score</t>
        </is>
      </c>
      <c r="B8" s="4">
        <v>8</v>
      </c>
      <c r="C8" s="0" t="inlineStr">
        <is>
          <t xml:space="preserve">0 to 10</t>
        </is>
      </c>
      <c r="D8" s="3" t="inlineStr">
        <is>
          <t xml:space="preserve">Your judgment of how the federated model performs here.</t>
        </is>
      </c>
    </row>
    <row r="9">
      <c r="A9" s="0" t="inlineStr">
        <is>
          <t xml:space="preserve">Consistency of definitions weight</t>
        </is>
      </c>
      <c r="B9" s="4">
        <v>9</v>
      </c>
      <c r="C9" s="0" t="inlineStr">
        <is>
          <t xml:space="preserve">0 to 10</t>
        </is>
      </c>
      <c r="D9" s="3" t="inlineStr">
        <is>
          <t xml:space="preserve">How much this criterion matters to your case organization.</t>
        </is>
      </c>
    </row>
    <row r="10">
      <c r="A10" s="0" t="inlineStr">
        <is>
          <t xml:space="preserve">Consistency of definitions, centralized score</t>
        </is>
      </c>
      <c r="B10" s="4">
        <v>9</v>
      </c>
      <c r="C10" s="0" t="inlineStr">
        <is>
          <t xml:space="preserve">0 to 10</t>
        </is>
      </c>
      <c r="D10" s="3" t="inlineStr">
        <is>
          <t xml:space="preserve">Your judgment of how the centralized model performs here.</t>
        </is>
      </c>
    </row>
    <row r="11">
      <c r="A11" s="0" t="inlineStr">
        <is>
          <t xml:space="preserve">Consistency of definitions, federated score</t>
        </is>
      </c>
      <c r="B11" s="4">
        <v>4</v>
      </c>
      <c r="C11" s="0" t="inlineStr">
        <is>
          <t xml:space="preserve">0 to 10</t>
        </is>
      </c>
      <c r="D11" s="3" t="inlineStr">
        <is>
          <t xml:space="preserve">Your judgment of how the federated model performs here.</t>
        </is>
      </c>
    </row>
    <row r="12">
      <c r="A12" s="0" t="inlineStr">
        <is>
          <t xml:space="preserve">Domain expertise weight</t>
        </is>
      </c>
      <c r="B12" s="4">
        <v>7</v>
      </c>
      <c r="C12" s="0" t="inlineStr">
        <is>
          <t xml:space="preserve">0 to 10</t>
        </is>
      </c>
      <c r="D12" s="3" t="inlineStr">
        <is>
          <t xml:space="preserve">How much this criterion matters to your case organization.</t>
        </is>
      </c>
    </row>
    <row r="13">
      <c r="A13" s="0" t="inlineStr">
        <is>
          <t xml:space="preserve">Domain expertise, centralized score</t>
        </is>
      </c>
      <c r="B13" s="4">
        <v>3</v>
      </c>
      <c r="C13" s="0" t="inlineStr">
        <is>
          <t xml:space="preserve">0 to 10</t>
        </is>
      </c>
      <c r="D13" s="3" t="inlineStr">
        <is>
          <t xml:space="preserve">Your judgment of how the centralized model performs here.</t>
        </is>
      </c>
    </row>
    <row r="14">
      <c r="A14" s="0" t="inlineStr">
        <is>
          <t xml:space="preserve">Domain expertise, federated score</t>
        </is>
      </c>
      <c r="B14" s="4">
        <v>9</v>
      </c>
      <c r="C14" s="0" t="inlineStr">
        <is>
          <t xml:space="preserve">0 to 10</t>
        </is>
      </c>
      <c r="D14" s="3" t="inlineStr">
        <is>
          <t xml:space="preserve">Your judgment of how the federated model performs here.</t>
        </is>
      </c>
    </row>
    <row r="15">
      <c r="A15" s="0" t="inlineStr">
        <is>
          <t xml:space="preserve">Audit burden weight</t>
        </is>
      </c>
      <c r="B15" s="4">
        <v>6</v>
      </c>
      <c r="C15" s="0" t="inlineStr">
        <is>
          <t xml:space="preserve">0 to 10</t>
        </is>
      </c>
      <c r="D15" s="3" t="inlineStr">
        <is>
          <t xml:space="preserve">How much this criterion matters to your case organization.</t>
        </is>
      </c>
    </row>
    <row r="16">
      <c r="A16" s="0" t="inlineStr">
        <is>
          <t xml:space="preserve">Audit burden, centralized score</t>
        </is>
      </c>
      <c r="B16" s="4">
        <v>8</v>
      </c>
      <c r="C16" s="0" t="inlineStr">
        <is>
          <t xml:space="preserve">0 to 10</t>
        </is>
      </c>
      <c r="D16" s="3" t="inlineStr">
        <is>
          <t xml:space="preserve">Your judgment of how the centralized model performs here.</t>
        </is>
      </c>
    </row>
    <row r="17">
      <c r="A17" s="0" t="inlineStr">
        <is>
          <t xml:space="preserve">Audit burden, federated score</t>
        </is>
      </c>
      <c r="B17" s="4">
        <v>4</v>
      </c>
      <c r="C17" s="0" t="inlineStr">
        <is>
          <t xml:space="preserve">0 to 10</t>
        </is>
      </c>
      <c r="D17" s="3" t="inlineStr">
        <is>
          <t xml:space="preserve">Your judgment of how the federated model performs here.</t>
        </is>
      </c>
    </row>
    <row r="18">
      <c r="A18" s="0" t="inlineStr">
        <is>
          <t xml:space="preserve">Staffing reality weight</t>
        </is>
      </c>
      <c r="B18" s="4">
        <v>9</v>
      </c>
      <c r="C18" s="0" t="inlineStr">
        <is>
          <t xml:space="preserve">0 to 10</t>
        </is>
      </c>
      <c r="D18" s="3" t="inlineStr">
        <is>
          <t xml:space="preserve">How much this criterion matters to your case organization.</t>
        </is>
      </c>
    </row>
    <row r="19">
      <c r="A19" s="0" t="inlineStr">
        <is>
          <t xml:space="preserve">Staffing reality, centralized score</t>
        </is>
      </c>
      <c r="B19" s="4">
        <v>7</v>
      </c>
      <c r="C19" s="0" t="inlineStr">
        <is>
          <t xml:space="preserve">0 to 10</t>
        </is>
      </c>
      <c r="D19" s="3" t="inlineStr">
        <is>
          <t xml:space="preserve">Your judgment of how the centralized model performs here.</t>
        </is>
      </c>
    </row>
    <row r="20">
      <c r="A20" s="0" t="inlineStr">
        <is>
          <t xml:space="preserve">Staffing reality, federated score</t>
        </is>
      </c>
      <c r="B20" s="4">
        <v>3</v>
      </c>
      <c r="C20" s="0" t="inlineStr">
        <is>
          <t xml:space="preserve">0 to 10</t>
        </is>
      </c>
      <c r="D20" s="3" t="inlineStr">
        <is>
          <t xml:space="preserve">Your judgment of how the federated model performs here.</t>
        </is>
      </c>
    </row>
    <row r="21">
      <c r="A21" s="0" t="inlineStr">
        <is>
          <t xml:space="preserve">Central platform headcount</t>
        </is>
      </c>
      <c r="B21" s="4">
        <v>8</v>
      </c>
      <c r="C21" s="0" t="inlineStr">
        <is>
          <t xml:space="preserve">engineers</t>
        </is>
      </c>
      <c r="D21" s="3" t="inlineStr">
        <is>
          <t xml:space="preserve">Size of one central data platform team.</t>
        </is>
      </c>
    </row>
    <row r="22">
      <c r="A22" s="0" t="inlineStr">
        <is>
          <t xml:space="preserve">Engineers per domain</t>
        </is>
      </c>
      <c r="B22" s="4">
        <v>2</v>
      </c>
      <c r="C22" s="0" t="inlineStr">
        <is>
          <t xml:space="preserve">engineers</t>
        </is>
      </c>
      <c r="D22" s="3" t="inlineStr">
        <is>
          <t xml:space="preserve">Embedded data engineers each domain would hire.</t>
        </is>
      </c>
    </row>
    <row r="23">
      <c r="A23" s="0" t="inlineStr">
        <is>
          <t xml:space="preserve">Business domains</t>
        </is>
      </c>
      <c r="B23" s="4">
        <v>6</v>
      </c>
      <c r="C23" s="0" t="inlineStr">
        <is>
          <t xml:space="preserve">domains</t>
        </is>
      </c>
      <c r="D23" s="3" t="inlineStr">
        <is>
          <t xml:space="preserve">The multiplier on federated headcount.</t>
        </is>
      </c>
    </row>
    <row r="24">
      <c r="A24" s="0" t="inlineStr">
        <is>
          <t xml:space="preserve">Cost per engineer</t>
        </is>
      </c>
      <c r="B24" s="4">
        <v>190000</v>
      </c>
      <c r="C24" s="0" t="inlineStr">
        <is>
          <t xml:space="preserve">USD per year</t>
        </is>
      </c>
      <c r="D24" s="3" t="inlineStr">
        <is>
          <t xml:space="preserve">Salary, payroll tax, benefits, equipment, and overhead.</t>
        </is>
      </c>
    </row>
    <row r="26">
      <c r="A26" s="2" t="inlineStr">
        <is>
          <t xml:space="preserve">RATES AND CONSTANTS</t>
        </is>
      </c>
      <c r="E26" s="3" t="inlineStr">
        <is>
          <t xml:space="preserve">Published list prices link to the Rates sheet. Change a price there and every week that uses it follows.</t>
        </is>
      </c>
    </row>
    <row r="27">
      <c r="A27" s="8" t="inlineStr">
        <is>
          <t xml:space="preserve">Item</t>
        </is>
      </c>
      <c r="B27" s="8" t="inlineStr">
        <is>
          <t xml:space="preserve">Value</t>
        </is>
      </c>
      <c r="C27" s="8" t="inlineStr">
        <is>
          <t xml:space="preserve">Unit</t>
        </is>
      </c>
      <c r="D27" s="8" t="inlineStr">
        <is>
          <t xml:space="preserve">Source and note</t>
        </is>
      </c>
    </row>
    <row r="28">
      <c r="A28" s="0" t="inlineStr">
        <is>
          <t xml:space="preserve">Central team retained under federation</t>
        </is>
      </c>
      <c r="B28" s="4">
        <v>2</v>
      </c>
      <c r="C28" s="0" t="inlineStr">
        <is>
          <t xml:space="preserve">divisor</t>
        </is>
      </c>
      <c r="D28" s="3" t="inlineStr">
        <is>
          <t xml:space="preserve">The federated model keeps a half-size central enablement team, so headcount is divided by two and rounded up.</t>
        </is>
      </c>
    </row>
    <row r="29">
      <c r="A29" s="0" t="inlineStr">
        <is>
          <t xml:space="preserve">Floor on the score margin</t>
        </is>
      </c>
      <c r="B29" s="4">
        <v>0.01</v>
      </c>
      <c r="C29" s="0" t="inlineStr">
        <is>
          <t xml:space="preserve">points</t>
        </is>
      </c>
      <c r="D29" s="3" t="inlineStr">
        <is>
          <t xml:space="preserve">Prevents a division by zero when the two models score identically.</t>
        </is>
      </c>
    </row>
    <row r="31">
      <c r="A31" s="2" t="inlineStr">
        <is>
          <t xml:space="preserve">COMPUTED</t>
        </is>
      </c>
      <c r="E31" s="3" t="inlineStr">
        <is>
          <t xml:space="preserve">Each cell holds the formula shown in column D. Nothing here is typed in by hand.</t>
        </is>
      </c>
    </row>
    <row r="32">
      <c r="A32" s="8" t="inlineStr">
        <is>
          <t xml:space="preserve">Figure</t>
        </is>
      </c>
      <c r="B32" s="8" t="inlineStr">
        <is>
          <t xml:space="preserve">Value</t>
        </is>
      </c>
      <c r="C32" s="8" t="inlineStr">
        <is>
          <t xml:space="preserve">Unit</t>
        </is>
      </c>
      <c r="D32" s="8" t="inlineStr">
        <is>
          <t xml:space="preserve">Equation in words</t>
        </is>
      </c>
      <c r="E32" s="8" t="inlineStr">
        <is>
          <t xml:space="preserve">Note</t>
        </is>
      </c>
    </row>
    <row r="33">
      <c r="A33" s="0" t="inlineStr">
        <is>
          <t xml:space="preserve">Total weight</t>
        </is>
      </c>
      <c r="B33" s="4">
        <f>$B$6+$B$9+$B$12+$B$15+$B$18</f>
        <v>39</v>
      </c>
      <c r="C33" s="0" t="inlineStr">
        <is>
          <t xml:space="preserve">points</t>
        </is>
      </c>
      <c r="D33" s="3" t="inlineStr">
        <is>
          <t xml:space="preserve">Speed of change weight + Consistency of definitions weight + Domain expertise weight + Audit burden weight + Staffing reality weight</t>
        </is>
      </c>
      <c r="E33" s="3" t="inlineStr">
        <is>
          <t xml:space="preserve">The divisor that turns weighted sums into a score out of ten.</t>
        </is>
      </c>
    </row>
    <row r="34">
      <c r="A34" s="0" t="inlineStr">
        <is>
          <t xml:space="preserve">Centralized weighted sum</t>
        </is>
      </c>
      <c r="B34" s="4">
        <f>$B$6*$B$7+$B$9*$B$10+$B$12*$B$13+$B$15*$B$16+$B$18*$B$19</f>
        <v>245</v>
      </c>
      <c r="C34" s="0" t="inlineStr">
        <is>
          <t xml:space="preserve">points</t>
        </is>
      </c>
      <c r="D34" s="3" t="inlineStr">
        <is>
          <t xml:space="preserve">Speed of change weight × Speed of change, centralized score + Consistency of definitions weight × Consistency of definitions, centralized score + Domain expertise weight × Domain expertise, centralized score + Audit burden weight × Audit burden, centralized score + Staffing reality weight × Staffing reality, centralized score</t>
        </is>
      </c>
      <c r="E34" s="3" t="inlineStr">
        <is>
          <t xml:space="preserve">Each centralized score times its weight.</t>
        </is>
      </c>
    </row>
    <row r="35">
      <c r="A35" s="0" t="inlineStr">
        <is>
          <t xml:space="preserve">Federated weighted sum</t>
        </is>
      </c>
      <c r="B35" s="4">
        <f>$B$6*$B$8+$B$9*$B$11+$B$12*$B$14+$B$15*$B$17+$B$18*$B$20</f>
        <v>214</v>
      </c>
      <c r="C35" s="0" t="inlineStr">
        <is>
          <t xml:space="preserve">points</t>
        </is>
      </c>
      <c r="D35" s="3" t="inlineStr">
        <is>
          <t xml:space="preserve">Speed of change weight × Speed of change, federated score + Consistency of definitions weight × Consistency of definitions, federated score + Domain expertise weight × Domain expertise, federated score + Audit burden weight × Audit burden, federated score + Staffing reality weight × Staffing reality, federated score</t>
        </is>
      </c>
      <c r="E35" s="3" t="inlineStr">
        <is>
          <t xml:space="preserve">Each federated score times its weight.</t>
        </is>
      </c>
    </row>
    <row r="36">
      <c r="A36" s="0" t="inlineStr">
        <is>
          <t xml:space="preserve">Weighted centralized score</t>
        </is>
      </c>
      <c r="B36" s="4">
        <f>$B$34/$B$33</f>
        <v>6.282051282051282</v>
      </c>
      <c r="C36" s="0" t="inlineStr">
        <is>
          <t xml:space="preserve">of 10</t>
        </is>
      </c>
      <c r="D36" s="3" t="inlineStr">
        <is>
          <t xml:space="preserve">Centralized weighted sum ÷ Total weight</t>
        </is>
      </c>
      <c r="E36" s="3" t="inlineStr">
        <is>
          <t xml:space="preserve"/>
        </is>
      </c>
    </row>
    <row r="37">
      <c r="A37" s="0" t="inlineStr">
        <is>
          <t xml:space="preserve">Weighted federated score</t>
        </is>
      </c>
      <c r="B37" s="4">
        <f>$B$35/$B$33</f>
        <v>5.487179487179487</v>
      </c>
      <c r="C37" s="0" t="inlineStr">
        <is>
          <t xml:space="preserve">of 10</t>
        </is>
      </c>
      <c r="D37" s="3" t="inlineStr">
        <is>
          <t xml:space="preserve">Federated weighted sum ÷ Total weight</t>
        </is>
      </c>
      <c r="E37" s="3" t="inlineStr">
        <is>
          <t xml:space="preserve"/>
        </is>
      </c>
    </row>
    <row r="38">
      <c r="A38" s="0" t="inlineStr">
        <is>
          <t xml:space="preserve">Margin</t>
        </is>
      </c>
      <c r="B38" s="4">
        <f>ABS($B$36-$B$37)</f>
        <v>0.7948717948717947</v>
      </c>
      <c r="C38" s="0" t="inlineStr">
        <is>
          <t xml:space="preserve">points</t>
        </is>
      </c>
      <c r="D38" s="3" t="inlineStr">
        <is>
          <t xml:space="preserve">ABS(Weighted centralized score - Weighted federated score)</t>
        </is>
      </c>
      <c r="E38" s="3" t="inlineStr">
        <is>
          <t xml:space="preserve">Under half a point, the weights are deciding rather than the evidence.</t>
        </is>
      </c>
    </row>
    <row r="39">
      <c r="A39" s="0" t="inlineStr">
        <is>
          <t xml:space="preserve">Centralized staffing cost per year</t>
        </is>
      </c>
      <c r="B39" s="5">
        <f>$B$21*$B$24</f>
        <v>1520000</v>
      </c>
      <c r="C39" s="0" t="inlineStr">
        <is>
          <t xml:space="preserve">USD per year</t>
        </is>
      </c>
      <c r="D39" s="3" t="inlineStr">
        <is>
          <t xml:space="preserve">Central platform headcount × Cost per engineer</t>
        </is>
      </c>
      <c r="E39" s="3" t="inlineStr">
        <is>
          <t xml:space="preserve"/>
        </is>
      </c>
    </row>
    <row r="40">
      <c r="A40" s="0" t="inlineStr">
        <is>
          <t xml:space="preserve">Federated staffing cost per year</t>
        </is>
      </c>
      <c r="B40" s="5">
        <f>($B$23*$B$22+CEILING($B$21/$B$28,1))*$B$24</f>
        <v>3040000</v>
      </c>
      <c r="C40" s="0" t="inlineStr">
        <is>
          <t xml:space="preserve">USD per year</t>
        </is>
      </c>
      <c r="D40" s="3" t="inlineStr">
        <is>
          <t xml:space="preserve">(Business domains × Engineers per domain + CEILING(Central platform headcount ÷ Central team retained under federation,1)) × Cost per engineer</t>
        </is>
      </c>
      <c r="E40" s="3" t="inlineStr">
        <is>
          <t xml:space="preserve">Domains times engineers each, plus a half-size central enablement team.</t>
        </is>
      </c>
    </row>
    <row r="41">
      <c r="A41" s="0" t="inlineStr">
        <is>
          <t xml:space="preserve">Annual staffing difference</t>
        </is>
      </c>
      <c r="B41" s="5">
        <f>ABS($B$40-$B$39)</f>
        <v>1520000</v>
      </c>
      <c r="C41" s="0" t="inlineStr">
        <is>
          <t xml:space="preserve">USD per year</t>
        </is>
      </c>
      <c r="D41" s="3" t="inlineStr">
        <is>
          <t xml:space="preserve">ABS(Federated staffing cost per year - Centralized staffing cost per year)</t>
        </is>
      </c>
      <c r="E41" s="3" t="inlineStr">
        <is>
          <t xml:space="preserve">Operating models are mostly a payroll decision. This is the size of it.</t>
        </is>
      </c>
    </row>
    <row r="42">
      <c r="A42" s="0" t="inlineStr">
        <is>
          <t xml:space="preserve">Cost per point of weighted score</t>
        </is>
      </c>
      <c r="B42" s="5">
        <f>$B$41/MAX($B$38,$B$29)</f>
        <v>1912258.0645161294</v>
      </c>
      <c r="C42" s="0" t="inlineStr">
        <is>
          <t xml:space="preserve">USD per point</t>
        </is>
      </c>
      <c r="D42" s="3" t="inlineStr">
        <is>
          <t xml:space="preserve">Annual staffing difference ÷ MAX(Margin,Floor on the score margin)</t>
        </is>
      </c>
      <c r="E42" s="3" t="inlineStr">
        <is>
          <t xml:space="preserve">What the dearer model costs per point of advantage your own weights gave it.</t>
        </is>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9: Privacy Compliance Path Cost</t>
        </is>
      </c>
    </row>
    <row r="2">
      <c r="A2" s="3" t="inlineStr">
        <is>
          <t xml:space="preserve">Adopt one national internal standard or comply state by state. Cost both paths and pick one.</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States in scope</t>
        </is>
      </c>
      <c r="B6" s="4">
        <v>19</v>
      </c>
      <c r="C6" s="0" t="inlineStr">
        <is>
          <t xml:space="preserve">states</t>
        </is>
      </c>
      <c r="D6" s="3" t="inlineStr">
        <is>
          <t xml:space="preserve">States whose statutes reach your data subjects.</t>
        </is>
      </c>
    </row>
    <row r="7">
      <c r="A7" s="0" t="inlineStr">
        <is>
          <t xml:space="preserve">Strictest state driving the standard</t>
        </is>
      </c>
      <c r="B7" s="0" t="inlineStr">
        <is>
          <t xml:space="preserve">California</t>
        </is>
      </c>
      <c r="C7" s="0" t="inlineStr">
        <is>
          <t xml:space="preserve"/>
        </is>
      </c>
      <c r="D7" s="3" t="inlineStr">
        <is>
          <t xml:space="preserve">The state whose rule sets your national floor.</t>
        </is>
      </c>
    </row>
    <row r="8">
      <c r="A8" s="0" t="inlineStr">
        <is>
          <t xml:space="preserve">National standard build</t>
        </is>
      </c>
      <c r="B8" s="4">
        <v>750000</v>
      </c>
      <c r="C8" s="0" t="inlineStr">
        <is>
          <t xml:space="preserve">USD</t>
        </is>
      </c>
      <c r="D8" s="3" t="inlineStr">
        <is>
          <t xml:space="preserve">One-time cost to build to the strictest standard.</t>
        </is>
      </c>
    </row>
    <row r="9">
      <c r="A9" s="0" t="inlineStr">
        <is>
          <t xml:space="preserve">National standard annual</t>
        </is>
      </c>
      <c r="B9" s="4">
        <v>200000</v>
      </c>
      <c r="C9" s="0" t="inlineStr">
        <is>
          <t xml:space="preserve">USD per year</t>
        </is>
      </c>
      <c r="D9" s="3" t="inlineStr">
        <is>
          <t xml:space="preserve">One jurisdiction's worth of process applied to all of them.</t>
        </is>
      </c>
    </row>
    <row r="10">
      <c r="A10" s="0" t="inlineStr">
        <is>
          <t xml:space="preserve">Per-state build</t>
        </is>
      </c>
      <c r="B10" s="4">
        <v>60000</v>
      </c>
      <c r="C10" s="0" t="inlineStr">
        <is>
          <t xml:space="preserve">USD</t>
        </is>
      </c>
      <c r="D10" s="3" t="inlineStr">
        <is>
          <t xml:space="preserve">One-time cost per state.</t>
        </is>
      </c>
    </row>
    <row r="11">
      <c r="A11" s="0" t="inlineStr">
        <is>
          <t xml:space="preserve">Per-state annual</t>
        </is>
      </c>
      <c r="B11" s="4">
        <v>25000</v>
      </c>
      <c r="C11" s="0" t="inlineStr">
        <is>
          <t xml:space="preserve">USD per year</t>
        </is>
      </c>
      <c r="D11" s="3" t="inlineStr">
        <is>
          <t xml:space="preserve">The line that compounds.</t>
        </is>
      </c>
    </row>
    <row r="12">
      <c r="A12" s="0" t="inlineStr">
        <is>
          <t xml:space="preserve">Horizon</t>
        </is>
      </c>
      <c r="B12" s="4">
        <v>3</v>
      </c>
      <c r="C12" s="0" t="inlineStr">
        <is>
          <t xml:space="preserve">years</t>
        </is>
      </c>
      <c r="D12" s="3" t="inlineStr">
        <is>
          <t xml:space="preserve">Longer horizons favour the one-time build.</t>
        </is>
      </c>
    </row>
    <row r="13">
      <c r="A13" s="0" t="inlineStr">
        <is>
          <t xml:space="preserve">Deletion requests per year</t>
        </is>
      </c>
      <c r="B13" s="4">
        <v>4200</v>
      </c>
      <c r="C13" s="0" t="inlineStr">
        <is>
          <t xml:space="preserve">requests</t>
        </is>
      </c>
      <c r="D13" s="3" t="inlineStr">
        <is>
          <t xml:space="preserve">Statutory deletion and access requests you expect to service.</t>
        </is>
      </c>
    </row>
    <row r="14">
      <c r="A14" s="0" t="inlineStr">
        <is>
          <t xml:space="preserve">Hours per request</t>
        </is>
      </c>
      <c r="B14" s="4">
        <v>1.5</v>
      </c>
      <c r="C14" s="0" t="inlineStr">
        <is>
          <t xml:space="preserve">hours</t>
        </is>
      </c>
      <c r="D14" s="3" t="inlineStr">
        <is>
          <t xml:space="preserve">Manual effort per request today.</t>
        </is>
      </c>
    </row>
    <row r="16">
      <c r="A16" s="2" t="inlineStr">
        <is>
          <t xml:space="preserve">RATES AND CONSTANTS</t>
        </is>
      </c>
      <c r="E16" s="3" t="inlineStr">
        <is>
          <t xml:space="preserve">Published list prices link to the Rates sheet. Change a price there and every week that uses it follows.</t>
        </is>
      </c>
    </row>
    <row r="17">
      <c r="A17" s="8" t="inlineStr">
        <is>
          <t xml:space="preserve">Item</t>
        </is>
      </c>
      <c r="B17" s="8" t="inlineStr">
        <is>
          <t xml:space="preserve">Value</t>
        </is>
      </c>
      <c r="C17" s="8" t="inlineStr">
        <is>
          <t xml:space="preserve">Unit</t>
        </is>
      </c>
      <c r="D17" s="8" t="inlineStr">
        <is>
          <t xml:space="preserve">Source and note</t>
        </is>
      </c>
    </row>
    <row r="18">
      <c r="A18" s="0" t="inlineStr">
        <is>
          <t xml:space="preserve">Blended hourly cost</t>
        </is>
      </c>
      <c r="B18" s="4">
        <v>140</v>
      </c>
      <c r="C18" s="0" t="inlineStr">
        <is>
          <t xml:space="preserve">USD per hour</t>
        </is>
      </c>
      <c r="D18" s="3" t="inlineStr">
        <is>
          <t xml:space="preserve">An organizational assumption, not a published price. Salary divided by 2,080 understates it badly.</t>
        </is>
      </c>
    </row>
    <row r="20">
      <c r="A20" s="2" t="inlineStr">
        <is>
          <t xml:space="preserve">COMPUTED</t>
        </is>
      </c>
      <c r="E20" s="3" t="inlineStr">
        <is>
          <t xml:space="preserve">Each cell holds the formula shown in column D. Nothing here is typed in by hand.</t>
        </is>
      </c>
    </row>
    <row r="21">
      <c r="A21" s="8" t="inlineStr">
        <is>
          <t xml:space="preserve">Figure</t>
        </is>
      </c>
      <c r="B21" s="8" t="inlineStr">
        <is>
          <t xml:space="preserve">Value</t>
        </is>
      </c>
      <c r="C21" s="8" t="inlineStr">
        <is>
          <t xml:space="preserve">Unit</t>
        </is>
      </c>
      <c r="D21" s="8" t="inlineStr">
        <is>
          <t xml:space="preserve">Equation in words</t>
        </is>
      </c>
      <c r="E21" s="8" t="inlineStr">
        <is>
          <t xml:space="preserve">Note</t>
        </is>
      </c>
    </row>
    <row r="22">
      <c r="A22" s="0" t="inlineStr">
        <is>
          <t xml:space="preserve">National standard over the horizon</t>
        </is>
      </c>
      <c r="B22" s="5">
        <f>$B$8+$B$9*$B$12</f>
        <v>1350000</v>
      </c>
      <c r="C22" s="0" t="inlineStr">
        <is>
          <t xml:space="preserve">USD</t>
        </is>
      </c>
      <c r="D22" s="3" t="inlineStr">
        <is>
          <t xml:space="preserve">National standard build + National standard annual × Horizon</t>
        </is>
      </c>
      <c r="E22" s="3" t="inlineStr">
        <is>
          <t xml:space="preserve">Build once to the strictest rule, run it everywhere.</t>
        </is>
      </c>
    </row>
    <row r="23">
      <c r="A23" s="0" t="inlineStr">
        <is>
          <t xml:space="preserve">Per-state compliance over the horizon</t>
        </is>
      </c>
      <c r="B23" s="5">
        <f>$B$10*$B$6+$B$11*$B$6*$B$12</f>
        <v>2565000</v>
      </c>
      <c r="C23" s="0" t="inlineStr">
        <is>
          <t xml:space="preserve">USD</t>
        </is>
      </c>
      <c r="D23" s="3" t="inlineStr">
        <is>
          <t xml:space="preserve">Per-state build × States in scope + Per-state annual × States in scope × Horizon</t>
        </is>
      </c>
      <c r="E23" s="3" t="inlineStr">
        <is>
          <t xml:space="preserve">Separate builds and separate annual programmes, one set per state.</t>
        </is>
      </c>
    </row>
    <row r="24">
      <c r="A24" s="0" t="inlineStr">
        <is>
          <t xml:space="preserve">Difference</t>
        </is>
      </c>
      <c r="B24" s="5">
        <f>ABS($B$23-$B$22)</f>
        <v>1215000</v>
      </c>
      <c r="C24" s="0" t="inlineStr">
        <is>
          <t xml:space="preserve">USD</t>
        </is>
      </c>
      <c r="D24" s="3" t="inlineStr">
        <is>
          <t xml:space="preserve">ABS(Per-state compliance over the horizon - National standard over the horizon)</t>
        </is>
      </c>
      <c r="E24" s="3" t="inlineStr">
        <is>
          <t xml:space="preserve">The size of the decision, over the horizon you stated.</t>
        </is>
      </c>
    </row>
    <row r="25">
      <c r="A25" s="0" t="inlineStr">
        <is>
          <t xml:space="preserve">States at which the two paths cost the same</t>
        </is>
      </c>
      <c r="B25" s="4">
        <f>($B$8+$B$9*$B$12)/($B$10+$B$11*$B$12)</f>
        <v>10</v>
      </c>
      <c r="C25" s="0" t="inlineStr">
        <is>
          <t xml:space="preserve">states</t>
        </is>
      </c>
      <c r="D25" s="3" t="inlineStr">
        <is>
          <t xml:space="preserve">(National standard build + National standard annual × Horizon) ÷ (Per-state build + Per-state annual × Horizon)</t>
        </is>
      </c>
      <c r="E25" s="3" t="inlineStr">
        <is>
          <t xml:space="preserve">Below this count, per-state is cheaper. Above it, the national standard is.</t>
        </is>
      </c>
    </row>
    <row r="26">
      <c r="A26" s="0" t="inlineStr">
        <is>
          <t xml:space="preserve">Deletion request handling per year</t>
        </is>
      </c>
      <c r="B26" s="5">
        <f>$B$13*$B$14*$B$18</f>
        <v>882000</v>
      </c>
      <c r="C26" s="0" t="inlineStr">
        <is>
          <t xml:space="preserve">USD per year</t>
        </is>
      </c>
      <c r="D26" s="3" t="inlineStr">
        <is>
          <t xml:space="preserve">Deletion requests per year × Hours per request × Blended hourly cost</t>
        </is>
      </c>
      <c r="E26" s="3" t="inlineStr">
        <is>
          <t xml:space="preserve">Recurs on both paths and grows with your customer base.</t>
        </is>
      </c>
    </row>
    <row r="27">
      <c r="A27" s="0" t="inlineStr">
        <is>
          <t xml:space="preserve">Cost per deletion request</t>
        </is>
      </c>
      <c r="B27" s="6">
        <f>$B$26/$B$13</f>
        <v>210</v>
      </c>
      <c r="C27" s="0" t="inlineStr">
        <is>
          <t xml:space="preserve">USD</t>
        </is>
      </c>
      <c r="D27" s="3" t="inlineStr">
        <is>
          <t xml:space="preserve">Deletion request handling per year ÷ Deletion requests per year</t>
        </is>
      </c>
      <c r="E27" s="3" t="inlineStr">
        <is>
          <t xml:space="preserve">Automation is justified against this figure, not against the total.</t>
        </is>
      </c>
    </row>
    <row r="28">
      <c r="A28" s="0" t="inlineStr">
        <is>
          <t xml:space="preserve">National standard, per state per year</t>
        </is>
      </c>
      <c r="B28" s="6">
        <f>$B$22/$B$12/$B$6</f>
        <v>23684.21052631579</v>
      </c>
      <c r="C28" s="0" t="inlineStr">
        <is>
          <t xml:space="preserve">USD</t>
        </is>
      </c>
      <c r="D28" s="3" t="inlineStr">
        <is>
          <t xml:space="preserve">National standard over the horizon ÷ Horizon ÷ States in scope</t>
        </is>
      </c>
      <c r="E28" s="3" t="inlineStr">
        <is>
          <t xml:space="preserve">Compare it against the per-state annual figure you entered.</t>
        </is>
      </c>
    </row>
  </sheetData>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10: EU AI Act Exposure Timeline</t>
        </is>
      </c>
    </row>
    <row r="2">
      <c r="A2" s="3" t="inlineStr">
        <is>
          <t xml:space="preserve">Article 50 transparency duties apply now. High-risk duties were deferred. Does your roadmap change, and by how much?</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Assessed as of</t>
        </is>
      </c>
      <c r="B6" s="7">
        <v>46277</v>
      </c>
      <c r="C6" s="0" t="inlineStr">
        <is>
          <t xml:space="preserve">date</t>
        </is>
      </c>
      <c r="D6" s="3" t="inlineStr">
        <is>
          <t xml:space="preserve">Every day count is measured from this date. The application uses the day you run it.</t>
        </is>
      </c>
    </row>
    <row r="7">
      <c r="A7" s="0" t="inlineStr">
        <is>
          <t xml:space="preserve">Your role under the Act</t>
        </is>
      </c>
      <c r="B7" s="0" t="inlineStr">
        <is>
          <t xml:space="preserve">Deployer</t>
        </is>
      </c>
      <c r="C7" s="0" t="inlineStr">
        <is>
          <t xml:space="preserve"/>
        </is>
      </c>
      <c r="D7" s="3" t="inlineStr">
        <is>
          <t xml:space="preserve">Provider, Deployer, Both, or Neither.</t>
        </is>
      </c>
    </row>
    <row r="8">
      <c r="A8" s="0" t="inlineStr">
        <is>
          <t xml:space="preserve">Annex III use case in scope</t>
        </is>
      </c>
      <c r="B8" s="0" t="inlineStr">
        <is>
          <t xml:space="preserve">Unsure</t>
        </is>
      </c>
      <c r="C8" s="0" t="inlineStr">
        <is>
          <t xml:space="preserve"/>
        </is>
      </c>
      <c r="D8" s="3" t="inlineStr">
        <is>
          <t xml:space="preserve">Yes, No, or Unsure. Unsure is a finding, not a gap.</t>
        </is>
      </c>
    </row>
    <row r="9">
      <c r="A9" s="0" t="inlineStr">
        <is>
          <t xml:space="preserve">Uses a general-purpose AI model</t>
        </is>
      </c>
      <c r="B9" s="0" t="inlineStr">
        <is>
          <t xml:space="preserve">Yes</t>
        </is>
      </c>
      <c r="C9" s="0" t="inlineStr">
        <is>
          <t xml:space="preserve"/>
        </is>
      </c>
      <c r="D9" s="3" t="inlineStr">
        <is>
          <t xml:space="preserve">Yes or No.</t>
        </is>
      </c>
    </row>
    <row r="10">
      <c r="A10" s="0" t="inlineStr">
        <is>
          <t xml:space="preserve">Generates synthetic content</t>
        </is>
      </c>
      <c r="B10" s="0" t="inlineStr">
        <is>
          <t xml:space="preserve">Yes</t>
        </is>
      </c>
      <c r="C10" s="0" t="inlineStr">
        <is>
          <t xml:space="preserve"/>
        </is>
      </c>
      <c r="D10" s="3" t="inlineStr">
        <is>
          <t xml:space="preserve">Yes or No. Triggers Article 50 duties, already in force.</t>
        </is>
      </c>
    </row>
    <row r="11">
      <c r="A11" s="0" t="inlineStr">
        <is>
          <t xml:space="preserve">Readiness effort</t>
        </is>
      </c>
      <c r="B11" s="4">
        <v>900</v>
      </c>
      <c r="C11" s="0" t="inlineStr">
        <is>
          <t xml:space="preserve">hours</t>
        </is>
      </c>
      <c r="D11" s="3" t="inlineStr">
        <is>
          <t xml:space="preserve">Your estimate of the work to reach compliance.</t>
        </is>
      </c>
    </row>
    <row r="12">
      <c r="A12" s="0" t="inlineStr">
        <is>
          <t xml:space="preserve">Blended hourly cost</t>
        </is>
      </c>
      <c r="B12" s="4">
        <v>140</v>
      </c>
      <c r="C12" s="0" t="inlineStr">
        <is>
          <t xml:space="preserve">USD per hour</t>
        </is>
      </c>
      <c r="D12" s="3" t="inlineStr">
        <is>
          <t xml:space="preserve">Fully loaded cost of an engineering or compliance hour.</t>
        </is>
      </c>
    </row>
    <row r="14">
      <c r="A14" s="2" t="inlineStr">
        <is>
          <t xml:space="preserve">RATES AND CONSTANTS</t>
        </is>
      </c>
      <c r="E14" s="3" t="inlineStr">
        <is>
          <t xml:space="preserve">Published list prices link to the Rates sheet. Change a price there and every week that uses it follows.</t>
        </is>
      </c>
    </row>
    <row r="15">
      <c r="A15" s="8" t="inlineStr">
        <is>
          <t xml:space="preserve">Item</t>
        </is>
      </c>
      <c r="B15" s="8" t="inlineStr">
        <is>
          <t xml:space="preserve">Value</t>
        </is>
      </c>
      <c r="C15" s="8" t="inlineStr">
        <is>
          <t xml:space="preserve">Unit</t>
        </is>
      </c>
      <c r="D15" s="8" t="inlineStr">
        <is>
          <t xml:space="preserve">Source and note</t>
        </is>
      </c>
    </row>
    <row r="16">
      <c r="A16" s="0" t="inlineStr">
        <is>
          <t xml:space="preserve">2025-02-02</t>
        </is>
      </c>
      <c r="B16" s="7">
        <v>45690</v>
      </c>
      <c r="C16" s="0" t="inlineStr">
        <is>
          <t xml:space="preserve">date</t>
        </is>
      </c>
      <c r="D16" s="3" t="inlineStr">
        <is>
          <t xml:space="preserve">Prohibitions and AI literacy obligations apply</t>
        </is>
      </c>
    </row>
    <row r="17">
      <c r="A17" s="0" t="inlineStr">
        <is>
          <t xml:space="preserve">2025-08-02</t>
        </is>
      </c>
      <c r="B17" s="7">
        <v>45871</v>
      </c>
      <c r="C17" s="0" t="inlineStr">
        <is>
          <t xml:space="preserve">date</t>
        </is>
      </c>
      <c r="D17" s="3" t="inlineStr">
        <is>
          <t xml:space="preserve">GPAI model provider obligations and governance apply</t>
        </is>
      </c>
    </row>
    <row r="18">
      <c r="A18" s="0" t="inlineStr">
        <is>
          <t xml:space="preserve">2026-08-02</t>
        </is>
      </c>
      <c r="B18" s="7">
        <v>46236</v>
      </c>
      <c r="C18" s="0" t="inlineStr">
        <is>
          <t xml:space="preserve">date</t>
        </is>
      </c>
      <c r="D18" s="3" t="inlineStr">
        <is>
          <t xml:space="preserve">Article 50 transparency duties apply, and AI Office enforcement over GPAI begins</t>
        </is>
      </c>
    </row>
    <row r="19">
      <c r="A19" s="0" t="inlineStr">
        <is>
          <t xml:space="preserve">2026-12-02</t>
        </is>
      </c>
      <c r="B19" s="7">
        <v>46358</v>
      </c>
      <c r="C19" s="0" t="inlineStr">
        <is>
          <t xml:space="preserve">date</t>
        </is>
      </c>
      <c r="D19" s="3" t="inlineStr">
        <is>
          <t xml:space="preserve">Deadline for transparency solutions for artificially generated content</t>
        </is>
      </c>
    </row>
    <row r="20">
      <c r="A20" s="0" t="inlineStr">
        <is>
          <t xml:space="preserve">2027-08-02</t>
        </is>
      </c>
      <c r="B20" s="7">
        <v>46601</v>
      </c>
      <c r="C20" s="0" t="inlineStr">
        <is>
          <t xml:space="preserve">date</t>
        </is>
      </c>
      <c r="D20" s="3" t="inlineStr">
        <is>
          <t xml:space="preserve">Member State AI regulatory sandboxes operational</t>
        </is>
      </c>
    </row>
    <row r="21">
      <c r="A21" s="0" t="inlineStr">
        <is>
          <t xml:space="preserve">2027-12-02</t>
        </is>
      </c>
      <c r="B21" s="7">
        <v>46723</v>
      </c>
      <c r="C21" s="0" t="inlineStr">
        <is>
          <t xml:space="preserve">date</t>
        </is>
      </c>
      <c r="D21" s="3" t="inlineStr">
        <is>
          <t xml:space="preserve">Annex III standalone high-risk obligations apply, deferred by the Digital Omnibus</t>
        </is>
      </c>
    </row>
    <row r="22">
      <c r="A22" s="0" t="inlineStr">
        <is>
          <t xml:space="preserve">2028-08-02</t>
        </is>
      </c>
      <c r="B22" s="7">
        <v>46967</v>
      </c>
      <c r="C22" s="0" t="inlineStr">
        <is>
          <t xml:space="preserve">date</t>
        </is>
      </c>
      <c r="D22" s="3" t="inlineStr">
        <is>
          <t xml:space="preserve">Annex I product-embedded high-risk obligations apply, deferred by the Digital Omnibus</t>
        </is>
      </c>
    </row>
    <row r="23">
      <c r="A23" s="0" t="inlineStr">
        <is>
          <t xml:space="preserve">Days per week</t>
        </is>
      </c>
      <c r="B23" s="4">
        <v>7</v>
      </c>
      <c r="C23" s="0" t="inlineStr">
        <is>
          <t xml:space="preserve">days</t>
        </is>
      </c>
      <c r="D23" s="3" t="inlineStr">
        <is>
          <t xml:space="preserve"/>
        </is>
      </c>
    </row>
    <row r="25">
      <c r="A25" s="2" t="inlineStr">
        <is>
          <t xml:space="preserve">COMPUTED</t>
        </is>
      </c>
      <c r="E25" s="3" t="inlineStr">
        <is>
          <t xml:space="preserve">Each cell holds the formula shown in column D. Nothing here is typed in by hand.</t>
        </is>
      </c>
    </row>
    <row r="26">
      <c r="A26" s="8" t="inlineStr">
        <is>
          <t xml:space="preserve">Figure</t>
        </is>
      </c>
      <c r="B26" s="8" t="inlineStr">
        <is>
          <t xml:space="preserve">Value</t>
        </is>
      </c>
      <c r="C26" s="8" t="inlineStr">
        <is>
          <t xml:space="preserve">Unit</t>
        </is>
      </c>
      <c r="D26" s="8" t="inlineStr">
        <is>
          <t xml:space="preserve">Equation in words</t>
        </is>
      </c>
      <c r="E26" s="8" t="inlineStr">
        <is>
          <t xml:space="preserve">Note</t>
        </is>
      </c>
    </row>
    <row r="27">
      <c r="A27" s="0" t="inlineStr">
        <is>
          <t xml:space="preserve">Days to 2025-02-02</t>
        </is>
      </c>
      <c r="B27" s="4">
        <f>ROUND($B$16-$B$6,0)</f>
        <v>-587</v>
      </c>
      <c r="C27" s="0" t="inlineStr">
        <is>
          <t xml:space="preserve">days</t>
        </is>
      </c>
      <c r="D27" s="3" t="inlineStr">
        <is>
          <t xml:space="preserve">ROUND(2025-02-02 - Assessed as of,0)</t>
        </is>
      </c>
      <c r="E27" s="3" t="inlineStr">
        <is>
          <t xml:space="preserve">Prohibitions and AI literacy obligations apply A negative figure means the obligation is already in force.</t>
        </is>
      </c>
    </row>
    <row r="28">
      <c r="A28" s="0" t="inlineStr">
        <is>
          <t xml:space="preserve">Days to 2025-08-02</t>
        </is>
      </c>
      <c r="B28" s="4">
        <f>ROUND($B$17-$B$6,0)</f>
        <v>-406</v>
      </c>
      <c r="C28" s="0" t="inlineStr">
        <is>
          <t xml:space="preserve">days</t>
        </is>
      </c>
      <c r="D28" s="3" t="inlineStr">
        <is>
          <t xml:space="preserve">ROUND(2025-08-02 - Assessed as of,0)</t>
        </is>
      </c>
      <c r="E28" s="3" t="inlineStr">
        <is>
          <t xml:space="preserve">GPAI model provider obligations and governance apply A negative figure means the obligation is already in force.</t>
        </is>
      </c>
    </row>
    <row r="29">
      <c r="A29" s="0" t="inlineStr">
        <is>
          <t xml:space="preserve">Days to 2026-08-02</t>
        </is>
      </c>
      <c r="B29" s="4">
        <f>ROUND($B$18-$B$6,0)</f>
        <v>-41</v>
      </c>
      <c r="C29" s="0" t="inlineStr">
        <is>
          <t xml:space="preserve">days</t>
        </is>
      </c>
      <c r="D29" s="3" t="inlineStr">
        <is>
          <t xml:space="preserve">ROUND(2026-08-02 - Assessed as of,0)</t>
        </is>
      </c>
      <c r="E29" s="3" t="inlineStr">
        <is>
          <t xml:space="preserve">Article 50 transparency duties apply, and AI Office enforcement over GPAI begins A negative figure means the obligation is already in force.</t>
        </is>
      </c>
    </row>
    <row r="30">
      <c r="A30" s="0" t="inlineStr">
        <is>
          <t xml:space="preserve">Days to 2026-12-02</t>
        </is>
      </c>
      <c r="B30" s="4">
        <f>ROUND($B$19-$B$6,0)</f>
        <v>81</v>
      </c>
      <c r="C30" s="0" t="inlineStr">
        <is>
          <t xml:space="preserve">days</t>
        </is>
      </c>
      <c r="D30" s="3" t="inlineStr">
        <is>
          <t xml:space="preserve">ROUND(2026-12-02 - Assessed as of,0)</t>
        </is>
      </c>
      <c r="E30" s="3" t="inlineStr">
        <is>
          <t xml:space="preserve">Deadline for transparency solutions for artificially generated content A negative figure means the obligation is already in force.</t>
        </is>
      </c>
    </row>
    <row r="31">
      <c r="A31" s="0" t="inlineStr">
        <is>
          <t xml:space="preserve">Days to 2027-08-02</t>
        </is>
      </c>
      <c r="B31" s="4">
        <f>ROUND($B$20-$B$6,0)</f>
        <v>324</v>
      </c>
      <c r="C31" s="0" t="inlineStr">
        <is>
          <t xml:space="preserve">days</t>
        </is>
      </c>
      <c r="D31" s="3" t="inlineStr">
        <is>
          <t xml:space="preserve">ROUND(2027-08-02 - Assessed as of,0)</t>
        </is>
      </c>
      <c r="E31" s="3" t="inlineStr">
        <is>
          <t xml:space="preserve">Member State AI regulatory sandboxes operational A negative figure means the obligation is already in force.</t>
        </is>
      </c>
    </row>
    <row r="32">
      <c r="A32" s="0" t="inlineStr">
        <is>
          <t xml:space="preserve">Days to 2027-12-02</t>
        </is>
      </c>
      <c r="B32" s="4">
        <f>ROUND($B$21-$B$6,0)</f>
        <v>446</v>
      </c>
      <c r="C32" s="0" t="inlineStr">
        <is>
          <t xml:space="preserve">days</t>
        </is>
      </c>
      <c r="D32" s="3" t="inlineStr">
        <is>
          <t xml:space="preserve">ROUND(2027-12-02 - Assessed as of,0)</t>
        </is>
      </c>
      <c r="E32" s="3" t="inlineStr">
        <is>
          <t xml:space="preserve">Annex III standalone high-risk obligations apply, deferred by the Digital Omnibus A negative figure means the obligation is already in force.</t>
        </is>
      </c>
    </row>
    <row r="33">
      <c r="A33" s="0" t="inlineStr">
        <is>
          <t xml:space="preserve">Days to 2028-08-02</t>
        </is>
      </c>
      <c r="B33" s="4">
        <f>ROUND($B$22-$B$6,0)</f>
        <v>690</v>
      </c>
      <c r="C33" s="0" t="inlineStr">
        <is>
          <t xml:space="preserve">days</t>
        </is>
      </c>
      <c r="D33" s="3" t="inlineStr">
        <is>
          <t xml:space="preserve">ROUND(2028-08-02 - Assessed as of,0)</t>
        </is>
      </c>
      <c r="E33" s="3" t="inlineStr">
        <is>
          <t xml:space="preserve">Annex I product-embedded high-risk obligations apply, deferred by the Digital Omnibus A negative figure means the obligation is already in force.</t>
        </is>
      </c>
    </row>
    <row r="34">
      <c r="A34" s="0" t="inlineStr">
        <is>
          <t xml:space="preserve">Readiness cost</t>
        </is>
      </c>
      <c r="B34" s="5">
        <f>$B$11*$B$12</f>
        <v>126000</v>
      </c>
      <c r="C34" s="0" t="inlineStr">
        <is>
          <t xml:space="preserve">USD</t>
        </is>
      </c>
      <c r="D34" s="3" t="inlineStr">
        <is>
          <t xml:space="preserve">Readiness effort × Blended hourly cost</t>
        </is>
      </c>
      <c r="E34" s="3" t="inlineStr">
        <is>
          <t xml:space="preserve">Compliance work is engineering work, paid for out of the same budget.</t>
        </is>
      </c>
    </row>
    <row r="35">
      <c r="A35" s="0" t="inlineStr">
        <is>
          <t xml:space="preserve">Days until Annex III obligations apply</t>
        </is>
      </c>
      <c r="B35" s="4">
        <f>$B$32</f>
        <v>446</v>
      </c>
      <c r="C35" s="0" t="inlineStr">
        <is>
          <t xml:space="preserve">days</t>
        </is>
      </c>
      <c r="D35" s="3" t="inlineStr">
        <is>
          <t xml:space="preserve">Days to 2027-12-02</t>
        </is>
      </c>
      <c r="E35" s="3" t="inlineStr">
        <is>
          <t xml:space="preserve">Measured from your assessment date to 2 December 2027.</t>
        </is>
      </c>
    </row>
    <row r="36">
      <c r="A36" s="0" t="inlineStr">
        <is>
          <t xml:space="preserve">Sustained effort to be ready in time</t>
        </is>
      </c>
      <c r="B36" s="4">
        <f>IF($B$35&gt;0,$B$11/($B$35/$B$23),$B$11)</f>
        <v>14.125560538116591</v>
      </c>
      <c r="C36" s="0" t="inlineStr">
        <is>
          <t xml:space="preserve">hours per week</t>
        </is>
      </c>
      <c r="D36" s="3" t="inlineStr">
        <is>
          <t xml:space="preserve">IF(Days until Annex III obligations apply&gt;0,Readiness effort ÷ (Days until Annex III obligations apply ÷ Days per week),Readiness effort)</t>
        </is>
      </c>
      <c r="E36" s="3" t="inlineStr">
        <is>
          <t xml:space="preserve">If this exceeds your team's slack, the deferral did not buy you what you think.</t>
        </is>
      </c>
    </row>
  </sheetData>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11: Retrieval Corpus Retention and Cost</t>
        </is>
      </c>
    </row>
    <row r="2">
      <c r="A2" s="3" t="inlineStr">
        <is>
          <t xml:space="preserve">Write the retention, lineage, and evaluation policy for a retrieval corpus that contains customer records.</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Documents in corpus</t>
        </is>
      </c>
      <c r="B6" s="4">
        <v>400000</v>
      </c>
      <c r="C6" s="0" t="inlineStr">
        <is>
          <t xml:space="preserve">documents</t>
        </is>
      </c>
      <c r="D6" s="3" t="inlineStr">
        <is>
          <t xml:space="preserve">Source documents before chunking.</t>
        </is>
      </c>
    </row>
    <row r="7">
      <c r="A7" s="0" t="inlineStr">
        <is>
          <t xml:space="preserve">Tokens per document</t>
        </is>
      </c>
      <c r="B7" s="4">
        <v>1200</v>
      </c>
      <c r="C7" s="0" t="inlineStr">
        <is>
          <t xml:space="preserve">tokens</t>
        </is>
      </c>
      <c r="D7" s="3" t="inlineStr">
        <is>
          <t xml:space="preserve">Roughly 750 words per 1,000 tokens.</t>
        </is>
      </c>
    </row>
    <row r="8">
      <c r="A8" s="0" t="inlineStr">
        <is>
          <t xml:space="preserve">Tokens per chunk</t>
        </is>
      </c>
      <c r="B8" s="4">
        <v>500</v>
      </c>
      <c r="C8" s="0" t="inlineStr">
        <is>
          <t xml:space="preserve">tokens</t>
        </is>
      </c>
      <c r="D8" s="3" t="inlineStr">
        <is>
          <t xml:space="preserve">Smaller chunks retrieve more precisely and cost more to embed and store.</t>
        </is>
      </c>
    </row>
    <row r="9">
      <c r="A9" s="0" t="inlineStr">
        <is>
          <t xml:space="preserve">Chunks retrieved per answer</t>
        </is>
      </c>
      <c r="B9" s="4">
        <v>8</v>
      </c>
      <c r="C9" s="0" t="inlineStr">
        <is>
          <t xml:space="preserve">chunks</t>
        </is>
      </c>
      <c r="D9" s="3" t="inlineStr">
        <is>
          <t xml:space="preserve">Every retrieved chunk is billed as input tokens on every question.</t>
        </is>
      </c>
    </row>
    <row r="10">
      <c r="A10" s="0" t="inlineStr">
        <is>
          <t xml:space="preserve">Questions per day</t>
        </is>
      </c>
      <c r="B10" s="4">
        <v>2000</v>
      </c>
      <c r="C10" s="0" t="inlineStr">
        <is>
          <t xml:space="preserve">questions</t>
        </is>
      </c>
      <c r="D10" s="3" t="inlineStr">
        <is>
          <t xml:space="preserve">Drives the generation bill, which recurs forever.</t>
        </is>
      </c>
    </row>
    <row r="11">
      <c r="A11" s="0" t="inlineStr">
        <is>
          <t xml:space="preserve">Share containing personal data</t>
        </is>
      </c>
      <c r="B11" s="4">
        <v>35</v>
      </c>
      <c r="C11" s="0" t="inlineStr">
        <is>
          <t xml:space="preserve">percent</t>
        </is>
      </c>
      <c r="D11" s="3" t="inlineStr">
        <is>
          <t xml:space="preserve">Sets the perimeter for retention, deletion, and access control.</t>
        </is>
      </c>
    </row>
    <row r="12">
      <c r="A12" s="0" t="inlineStr">
        <is>
          <t xml:space="preserve">Retention period</t>
        </is>
      </c>
      <c r="B12" s="4">
        <v>24</v>
      </c>
      <c r="C12" s="0" t="inlineStr">
        <is>
          <t xml:space="preserve">months</t>
        </is>
      </c>
      <c r="D12" s="3" t="inlineStr">
        <is>
          <t xml:space="preserve">How long a document stays in the corpus.</t>
        </is>
      </c>
    </row>
    <row r="13">
      <c r="A13" s="0" t="inlineStr">
        <is>
          <t xml:space="preserve">Reindex interval</t>
        </is>
      </c>
      <c r="B13" s="4">
        <v>30</v>
      </c>
      <c r="C13" s="0" t="inlineStr">
        <is>
          <t xml:space="preserve">days</t>
        </is>
      </c>
      <c r="D13" s="3" t="inlineStr">
        <is>
          <t xml:space="preserve">Sets both maximum staleness and how often you pay to embed.</t>
        </is>
      </c>
    </row>
    <row r="14">
      <c r="A14" s="0" t="inlineStr">
        <is>
          <t xml:space="preserve">Evaluation set size</t>
        </is>
      </c>
      <c r="B14" s="4">
        <v>800</v>
      </c>
      <c r="C14" s="0" t="inlineStr">
        <is>
          <t xml:space="preserve">documents</t>
        </is>
      </c>
      <c r="D14" s="3" t="inlineStr">
        <is>
          <t xml:space="preserve">The sample you measure retrieval quality against.</t>
        </is>
      </c>
    </row>
    <row r="15">
      <c r="A15" s="0" t="inlineStr">
        <is>
          <t xml:space="preserve">Deletion request SLA</t>
        </is>
      </c>
      <c r="B15" s="4">
        <v>45</v>
      </c>
      <c r="C15" s="0" t="inlineStr">
        <is>
          <t xml:space="preserve">days</t>
        </is>
      </c>
      <c r="D15" s="3" t="inlineStr">
        <is>
          <t xml:space="preserve">What you have promised, statutorily or contractually.</t>
        </is>
      </c>
    </row>
    <row r="17">
      <c r="A17" s="2" t="inlineStr">
        <is>
          <t xml:space="preserve">RATES AND CONSTANTS</t>
        </is>
      </c>
      <c r="E17" s="3" t="inlineStr">
        <is>
          <t xml:space="preserve">Published list prices link to the Rates sheet. Change a price there and every week that uses it follows.</t>
        </is>
      </c>
    </row>
    <row r="18">
      <c r="A18" s="8" t="inlineStr">
        <is>
          <t xml:space="preserve">Item</t>
        </is>
      </c>
      <c r="B18" s="8" t="inlineStr">
        <is>
          <t xml:space="preserve">Value</t>
        </is>
      </c>
      <c r="C18" s="8" t="inlineStr">
        <is>
          <t xml:space="preserve">Unit</t>
        </is>
      </c>
      <c r="D18" s="8" t="inlineStr">
        <is>
          <t xml:space="preserve">Source and note</t>
        </is>
      </c>
    </row>
    <row r="19">
      <c r="A19" s="0" t="inlineStr">
        <is>
          <t xml:space="preserve">Embedding dimensions</t>
        </is>
      </c>
      <c r="B19" s="4">
        <v>1024</v>
      </c>
      <c r="C19" s="0" t="inlineStr">
        <is>
          <t xml:space="preserve">dimensions</t>
        </is>
      </c>
      <c r="D19" s="3" t="inlineStr">
        <is>
          <t xml:space="preserve">Titan Text Embeddings V2 default output size.</t>
        </is>
      </c>
    </row>
    <row r="20">
      <c r="A20" s="0" t="inlineStr">
        <is>
          <t xml:space="preserve">Bytes per dimension</t>
        </is>
      </c>
      <c r="B20" s="4">
        <v>4</v>
      </c>
      <c r="C20" s="0" t="inlineStr">
        <is>
          <t xml:space="preserve">bytes</t>
        </is>
      </c>
      <c r="D20" s="3" t="inlineStr">
        <is>
          <t xml:space="preserve">float32. Quantising to int8 cuts this by four with some recall loss.</t>
        </is>
      </c>
    </row>
    <row r="21">
      <c r="A21" s="0" t="inlineStr">
        <is>
          <t xml:space="preserve">Output tokens per answer</t>
        </is>
      </c>
      <c r="B21" s="4">
        <v>400</v>
      </c>
      <c r="C21" s="0" t="inlineStr">
        <is>
          <t xml:space="preserve">tokens</t>
        </is>
      </c>
      <c r="D21" s="3" t="inlineStr">
        <is>
          <t xml:space="preserve">Assumed length of one generated answer.</t>
        </is>
      </c>
    </row>
    <row r="22">
      <c r="A22" s="0" t="inlineStr">
        <is>
          <t xml:space="preserve">Tokens per priced block</t>
        </is>
      </c>
      <c r="B22" s="4">
        <v>1000000</v>
      </c>
      <c r="C22" s="0" t="inlineStr">
        <is>
          <t xml:space="preserve">tokens</t>
        </is>
      </c>
      <c r="D22" s="3" t="inlineStr">
        <is>
          <t xml:space="preserve">Token prices are quoted per million.</t>
        </is>
      </c>
    </row>
    <row r="23">
      <c r="A23" s="0" t="inlineStr">
        <is>
          <t xml:space="preserve">Bytes per GiB</t>
        </is>
      </c>
      <c r="B23" s="4">
        <v>1073741824</v>
      </c>
      <c r="C23" s="0" t="inlineStr">
        <is>
          <t xml:space="preserve">bytes</t>
        </is>
      </c>
      <c r="D23" s="3" t="inlineStr">
        <is>
          <t xml:space="preserve">1,024 cubed.</t>
        </is>
      </c>
    </row>
    <row r="24">
      <c r="A24" s="0" t="inlineStr">
        <is>
          <t xml:space="preserve">GB per GiB</t>
        </is>
      </c>
      <c r="B24" s="4">
        <v>1.073741824</v>
      </c>
      <c r="C24" s="0" t="inlineStr">
        <is>
          <t xml:space="preserve">GB</t>
        </is>
      </c>
      <c r="D24" s="3" t="inlineStr">
        <is>
          <t xml:space="preserve">Index size is measured in GiB and storage is billed in GB.</t>
        </is>
      </c>
    </row>
    <row r="25">
      <c r="A25" s="0" t="inlineStr">
        <is>
          <t xml:space="preserve">Days per year</t>
        </is>
      </c>
      <c r="B25" s="4">
        <v>365</v>
      </c>
      <c r="C25" s="0" t="inlineStr">
        <is>
          <t xml:space="preserve">days</t>
        </is>
      </c>
      <c r="D25" s="3" t="inlineStr">
        <is>
          <t xml:space="preserve"/>
        </is>
      </c>
    </row>
    <row r="26">
      <c r="A26" s="0" t="inlineStr">
        <is>
          <t xml:space="preserve">Months per year</t>
        </is>
      </c>
      <c r="B26" s="4">
        <v>12</v>
      </c>
      <c r="C26" s="0" t="inlineStr">
        <is>
          <t xml:space="preserve">months</t>
        </is>
      </c>
      <c r="D26" s="3" t="inlineStr">
        <is>
          <t xml:space="preserve"/>
        </is>
      </c>
    </row>
    <row r="27">
      <c r="A27" s="0" t="inlineStr">
        <is>
          <t xml:space="preserve">Embedding price</t>
        </is>
      </c>
      <c r="B27" s="6">
        <f>Rates!$C$24</f>
        <v>0.02</v>
      </c>
      <c r="C27" s="0" t="inlineStr">
        <is>
          <t xml:space="preserve">per 1,000,000 tokens</t>
        </is>
      </c>
      <c r="D27" s="3" t="inlineStr">
        <is>
          <t xml:space="preserve">Amazon Web Services, Bedrock Titan Text Embeddings V2, on-demand. List price retrieved 2026-08-15. Charged once per chunk at index time, and again for every chunk you reindex. Reindex frequency is an embedding bill.</t>
        </is>
      </c>
    </row>
    <row r="28">
      <c r="A28" s="0" t="inlineStr">
        <is>
          <t xml:space="preserve">Generation input price</t>
        </is>
      </c>
      <c r="B28" s="6">
        <f>Rates!$C$25</f>
        <v>1</v>
      </c>
      <c r="C28" s="0" t="inlineStr">
        <is>
          <t xml:space="preserve">per 1,000,000 tokens</t>
        </is>
      </c>
      <c r="D28" s="3" t="inlineStr">
        <is>
          <t xml:space="preserve">Anthropic, Claude Haiku 4.5, input tokens. List price retrieved 2026-08-15. Retrieved chunks are input tokens. A RAG answer that stuffs 20 chunks into context pays for all 20 every time.</t>
        </is>
      </c>
    </row>
    <row r="29">
      <c r="A29" s="0" t="inlineStr">
        <is>
          <t xml:space="preserve">Generation output price</t>
        </is>
      </c>
      <c r="B29" s="6">
        <f>Rates!$C$26</f>
        <v>5</v>
      </c>
      <c r="C29" s="0" t="inlineStr">
        <is>
          <t xml:space="preserve">per 1,000,000 tokens</t>
        </is>
      </c>
      <c r="D29" s="3" t="inlineStr">
        <is>
          <t xml:space="preserve">Anthropic, Claude Haiku 4.5, output tokens. List price retrieved 2026-08-15. Output costs 5x input on this model. Batch processing halves both; prompt caching cuts repeated input by roughly 90 percent.</t>
        </is>
      </c>
    </row>
    <row r="30">
      <c r="A30" s="0" t="inlineStr">
        <is>
          <t xml:space="preserve">Object storage price</t>
        </is>
      </c>
      <c r="B30" s="6">
        <f>Rates!$C$5</f>
        <v>0.023</v>
      </c>
      <c r="C30" s="0" t="inlineStr">
        <is>
          <t xml:space="preserve">per GB-month</t>
        </is>
      </c>
      <c r="D30" s="3" t="inlineStr">
        <is>
          <t xml:space="preserve">Amazon Web Services, S3 Standard, first 50 TB per month, us-east-1. List price retrieved 2026-08-15. The default landing tier for a lakehouse. Billed on average bytes stored across the month, not peak.</t>
        </is>
      </c>
    </row>
    <row r="32">
      <c r="A32" s="2" t="inlineStr">
        <is>
          <t xml:space="preserve">COMPUTED</t>
        </is>
      </c>
      <c r="E32" s="3" t="inlineStr">
        <is>
          <t xml:space="preserve">Each cell holds the formula shown in column D. Nothing here is typed in by hand.</t>
        </is>
      </c>
    </row>
    <row r="33">
      <c r="A33" s="8" t="inlineStr">
        <is>
          <t xml:space="preserve">Figure</t>
        </is>
      </c>
      <c r="B33" s="8" t="inlineStr">
        <is>
          <t xml:space="preserve">Value</t>
        </is>
      </c>
      <c r="C33" s="8" t="inlineStr">
        <is>
          <t xml:space="preserve">Unit</t>
        </is>
      </c>
      <c r="D33" s="8" t="inlineStr">
        <is>
          <t xml:space="preserve">Equation in words</t>
        </is>
      </c>
      <c r="E33" s="8" t="inlineStr">
        <is>
          <t xml:space="preserve">Note</t>
        </is>
      </c>
    </row>
    <row r="34">
      <c r="A34" s="0" t="inlineStr">
        <is>
          <t xml:space="preserve">Tokens in the corpus</t>
        </is>
      </c>
      <c r="B34" s="4">
        <f>$B$6*$B$7</f>
        <v>480000000</v>
      </c>
      <c r="C34" s="0" t="inlineStr">
        <is>
          <t xml:space="preserve">tokens</t>
        </is>
      </c>
      <c r="D34" s="3" t="inlineStr">
        <is>
          <t xml:space="preserve">Documents in corpus × Tokens per document</t>
        </is>
      </c>
      <c r="E34" s="3" t="inlineStr">
        <is>
          <t xml:space="preserve">Documents times tokens each. The quantity you pay to embed.</t>
        </is>
      </c>
    </row>
    <row r="35">
      <c r="A35" s="0" t="inlineStr">
        <is>
          <t xml:space="preserve">Chunks in the index</t>
        </is>
      </c>
      <c r="B35" s="4">
        <f>$B$34/$B$8</f>
        <v>960000</v>
      </c>
      <c r="C35" s="0" t="inlineStr">
        <is>
          <t xml:space="preserve">chunks</t>
        </is>
      </c>
      <c r="D35" s="3" t="inlineStr">
        <is>
          <t xml:space="preserve">Tokens in the corpus ÷ Tokens per chunk</t>
        </is>
      </c>
      <c r="E35" s="3" t="inlineStr">
        <is>
          <t xml:space="preserve">The real unit of a retrieval corpus. Deletion, cost, and retrieval all operate on chunks.</t>
        </is>
      </c>
    </row>
    <row r="36">
      <c r="A36" s="0" t="inlineStr">
        <is>
          <t xml:space="preserve">Documents containing personal data</t>
        </is>
      </c>
      <c r="B36" s="4">
        <f>$B$6*$B$11/100</f>
        <v>140000</v>
      </c>
      <c r="C36" s="0" t="inlineStr">
        <is>
          <t xml:space="preserve">documents</t>
        </is>
      </c>
      <c r="D36" s="3" t="inlineStr">
        <is>
          <t xml:space="preserve">Documents in corpus × Share containing personal data ÷ 100</t>
        </is>
      </c>
      <c r="E36" s="3" t="inlineStr">
        <is>
          <t xml:space="preserve">Everything in scope for retention limits, deletion rights, and access control.</t>
        </is>
      </c>
    </row>
    <row r="37">
      <c r="A37" s="0" t="inlineStr">
        <is>
          <t xml:space="preserve">Cost to embed the corpus once</t>
        </is>
      </c>
      <c r="B37" s="6">
        <f>$B$34/$B$22*$B$27</f>
        <v>9.6</v>
      </c>
      <c r="C37" s="0" t="inlineStr">
        <is>
          <t xml:space="preserve">USD</t>
        </is>
      </c>
      <c r="D37" s="3" t="inlineStr">
        <is>
          <t xml:space="preserve">Tokens in the corpus ÷ Tokens per priced block × Embedding price</t>
        </is>
      </c>
      <c r="E37" s="3" t="inlineStr">
        <is>
          <t xml:space="preserve"/>
        </is>
      </c>
    </row>
    <row r="38">
      <c r="A38" s="0" t="inlineStr">
        <is>
          <t xml:space="preserve">Reindex passes per year</t>
        </is>
      </c>
      <c r="B38" s="4">
        <f>$B$25/$B$13</f>
        <v>12.166666666666666</v>
      </c>
      <c r="C38" s="0" t="inlineStr">
        <is>
          <t xml:space="preserve">passes</t>
        </is>
      </c>
      <c r="D38" s="3" t="inlineStr">
        <is>
          <t xml:space="preserve">Days per year ÷ Reindex interval</t>
        </is>
      </c>
      <c r="E38" s="3" t="inlineStr">
        <is>
          <t xml:space="preserve">How often the whole corpus is re-embedded.</t>
        </is>
      </c>
    </row>
    <row r="39">
      <c r="A39" s="0" t="inlineStr">
        <is>
          <t xml:space="preserve">Embedding cost per year</t>
        </is>
      </c>
      <c r="B39" s="6">
        <f>$B$37*$B$38</f>
        <v>116.79999999999998</v>
      </c>
      <c r="C39" s="0" t="inlineStr">
        <is>
          <t xml:space="preserve">USD per year</t>
        </is>
      </c>
      <c r="D39" s="3" t="inlineStr">
        <is>
          <t xml:space="preserve">Cost to embed the corpus once × Reindex passes per year</t>
        </is>
      </c>
      <c r="E39" s="3" t="inlineStr">
        <is>
          <t xml:space="preserve">Halving the reindex interval doubles this line.</t>
        </is>
      </c>
    </row>
    <row r="40">
      <c r="A40" s="0" t="inlineStr">
        <is>
          <t xml:space="preserve">Vector index size</t>
        </is>
      </c>
      <c r="B40" s="4">
        <f>$B$35*$B$19*$B$20/$B$23</f>
        <v>3.662109375</v>
      </c>
      <c r="C40" s="0" t="inlineStr">
        <is>
          <t xml:space="preserve">GiB</t>
        </is>
      </c>
      <c r="D40" s="3" t="inlineStr">
        <is>
          <t xml:space="preserve">Chunks in the index × Embedding dimensions × Bytes per dimension ÷ Bytes per GiB</t>
        </is>
      </c>
      <c r="E40" s="3" t="inlineStr">
        <is>
          <t xml:space="preserve">Vectors are often larger than the text they represent.</t>
        </is>
      </c>
    </row>
    <row r="41">
      <c r="A41" s="0" t="inlineStr">
        <is>
          <t xml:space="preserve">Vector storage per year</t>
        </is>
      </c>
      <c r="B41" s="6">
        <f>$B$40*$B$24*$B$30*$B$26</f>
        <v>1.0852761599999998</v>
      </c>
      <c r="C41" s="0" t="inlineStr">
        <is>
          <t xml:space="preserve">USD per year</t>
        </is>
      </c>
      <c r="D41" s="3" t="inlineStr">
        <is>
          <t xml:space="preserve">Vector index size × GB per GiB × Object storage price × Months per year</t>
        </is>
      </c>
      <c r="E41" s="3" t="inlineStr">
        <is>
          <t xml:space="preserve">Usually the smallest of the three bills.</t>
        </is>
      </c>
    </row>
    <row r="42">
      <c r="A42" s="0" t="inlineStr">
        <is>
          <t xml:space="preserve">Input tokens per answer</t>
        </is>
      </c>
      <c r="B42" s="4">
        <f>$B$9*$B$8</f>
        <v>4000</v>
      </c>
      <c r="C42" s="0" t="inlineStr">
        <is>
          <t xml:space="preserve">tokens</t>
        </is>
      </c>
      <c r="D42" s="3" t="inlineStr">
        <is>
          <t xml:space="preserve">Chunks retrieved per answer × Tokens per chunk</t>
        </is>
      </c>
      <c r="E42" s="3" t="inlineStr">
        <is>
          <t xml:space="preserve">Every retrieved chunk is paid for on every question.</t>
        </is>
      </c>
    </row>
    <row r="43">
      <c r="A43" s="0" t="inlineStr">
        <is>
          <t xml:space="preserve">Cost of one answer</t>
        </is>
      </c>
      <c r="B43" s="6">
        <f>$B$42/$B$22*$B$28+$B$21/$B$22*$B$29</f>
        <v>0.006</v>
      </c>
      <c r="C43" s="0" t="inlineStr">
        <is>
          <t xml:space="preserve">USD</t>
        </is>
      </c>
      <c r="D43" s="3" t="inlineStr">
        <is>
          <t xml:space="preserve">Input tokens per answer ÷ Tokens per priced block × Generation input price + Output tokens per answer ÷ Tokens per priced block × Generation output price</t>
        </is>
      </c>
      <c r="E43" s="3" t="inlineStr">
        <is>
          <t xml:space="preserve">Retrieved chunks as input, plus the assumed output length.</t>
        </is>
      </c>
    </row>
    <row r="44">
      <c r="A44" s="0" t="inlineStr">
        <is>
          <t xml:space="preserve">Answer generation per year</t>
        </is>
      </c>
      <c r="B44" s="6">
        <f>$B$43*$B$10*$B$25</f>
        <v>4380</v>
      </c>
      <c r="C44" s="0" t="inlineStr">
        <is>
          <t xml:space="preserve">USD per year</t>
        </is>
      </c>
      <c r="D44" s="3" t="inlineStr">
        <is>
          <t xml:space="preserve">Cost of one answer × Questions per day × Days per year</t>
        </is>
      </c>
      <c r="E44" s="3" t="inlineStr">
        <is>
          <t xml:space="preserve">The line that scales with adoption.</t>
        </is>
      </c>
    </row>
    <row r="45">
      <c r="A45" s="0" t="inlineStr">
        <is>
          <t xml:space="preserve">Total corpus cost per year</t>
        </is>
      </c>
      <c r="B45" s="6">
        <f>$B$39+$B$41+$B$44</f>
        <v>4497.88527616</v>
      </c>
      <c r="C45" s="0" t="inlineStr">
        <is>
          <t xml:space="preserve">USD per year</t>
        </is>
      </c>
      <c r="D45" s="3" t="inlineStr">
        <is>
          <t xml:space="preserve">Embedding cost per year + Vector storage per year + Answer generation per year</t>
        </is>
      </c>
      <c r="E45" s="3" t="inlineStr">
        <is>
          <t xml:space="preserve"/>
        </is>
      </c>
    </row>
    <row r="46">
      <c r="A46" s="0" t="inlineStr">
        <is>
          <t xml:space="preserve">Evaluation set coverage</t>
        </is>
      </c>
      <c r="B46" s="4">
        <f>$B$14/$B$6*100</f>
        <v>0.2</v>
      </c>
      <c r="C46" s="0" t="inlineStr">
        <is>
          <t xml:space="preserve">percent of corpus</t>
        </is>
      </c>
      <c r="D46" s="3" t="inlineStr">
        <is>
          <t xml:space="preserve">Evaluation set size ÷ Documents in corpus × 100</t>
        </is>
      </c>
      <c r="E46" s="3" t="inlineStr">
        <is>
          <t xml:space="preserve">Below one percent, rare document types are invisible.</t>
        </is>
      </c>
    </row>
  </sheetData>
</worksheet>
</file>

<file path=xl/worksheets/sheet13.xml><?xml version="1.0" encoding="utf-8"?>
<worksheet xmlns="http://schemas.openxmlformats.org/spreadsheetml/2006/main">
  <sheetViews>
    <sheetView workbookViewId="0">
      <pane ySplit="1" topLeftCell="A2" activePane="bottomLeft" state="frozen"/>
    </sheetView>
  </sheetViews>
  <cols>
    <col min="1" max="1" width="46" customWidth="1"/>
    <col min="2" max="2" width="20" customWidth="1"/>
    <col min="3" max="3" width="18" customWidth="1"/>
    <col min="4" max="4" width="62" customWidth="1"/>
    <col min="5" max="5" width="78" customWidth="1"/>
  </cols>
  <sheetData>
    <row r="1">
      <c r="A1" s="1" t="inlineStr">
        <is>
          <t xml:space="preserve">Week 12: Agent Access Scope and Run Cost</t>
        </is>
      </c>
    </row>
    <row r="2">
      <c r="A2" s="3" t="inlineStr">
        <is>
          <t xml:space="preserve">How does an autonomous agent authenticate to your platform, what is it permitted to read, and what does that reading cost?</t>
        </is>
      </c>
    </row>
    <row r="4">
      <c r="A4" s="2" t="inlineStr">
        <is>
          <t xml:space="preserve">INPUTS YOU SUPPLY</t>
        </is>
      </c>
      <c r="E4" s="3" t="inlineStr">
        <is>
          <t xml:space="preserve">Change any figure in column B. Every computed cell below recalculates.</t>
        </is>
      </c>
    </row>
    <row r="5">
      <c r="A5" s="8" t="inlineStr">
        <is>
          <t xml:space="preserve">Item</t>
        </is>
      </c>
      <c r="B5" s="8" t="inlineStr">
        <is>
          <t xml:space="preserve">Value</t>
        </is>
      </c>
      <c r="C5" s="8" t="inlineStr">
        <is>
          <t xml:space="preserve">Unit</t>
        </is>
      </c>
      <c r="D5" s="8" t="inlineStr">
        <is>
          <t xml:space="preserve">Where it comes from</t>
        </is>
      </c>
    </row>
    <row r="6">
      <c r="A6" s="0" t="inlineStr">
        <is>
          <t xml:space="preserve">Agent authentication method</t>
        </is>
      </c>
      <c r="B6" s="0" t="inlineStr">
        <is>
          <t xml:space="preserve">Static API key</t>
        </is>
      </c>
      <c r="C6" s="0" t="inlineStr">
        <is>
          <t xml:space="preserve"/>
        </is>
      </c>
      <c r="D6" s="3" t="inlineStr">
        <is>
          <t xml:space="preserve">Static API key, Short-lived vended credential, or Workload identity federation.</t>
        </is>
      </c>
    </row>
    <row r="7">
      <c r="A7" s="0" t="inlineStr">
        <is>
          <t xml:space="preserve">Credential lifetime</t>
        </is>
      </c>
      <c r="B7" s="4">
        <v>60</v>
      </c>
      <c r="C7" s="0" t="inlineStr">
        <is>
          <t xml:space="preserve">minutes</t>
        </is>
      </c>
      <c r="D7" s="3" t="inlineStr">
        <is>
          <t xml:space="preserve">Ignored when the method is a static key, which has no expiry.</t>
        </is>
      </c>
    </row>
    <row r="8">
      <c r="A8" s="0" t="inlineStr">
        <is>
          <t xml:space="preserve">Human approval before write</t>
        </is>
      </c>
      <c r="B8" s="0" t="inlineStr">
        <is>
          <t xml:space="preserve">Not required</t>
        </is>
      </c>
      <c r="C8" s="0" t="inlineStr">
        <is>
          <t xml:space="preserve"/>
        </is>
      </c>
      <c r="D8" s="3" t="inlineStr">
        <is>
          <t xml:space="preserve">Required or Not required.</t>
        </is>
      </c>
    </row>
    <row r="9">
      <c r="A9" s="0" t="inlineStr">
        <is>
          <t xml:space="preserve">Agent queries per day</t>
        </is>
      </c>
      <c r="B9" s="4">
        <v>5000</v>
      </c>
      <c r="C9" s="0" t="inlineStr">
        <is>
          <t xml:space="preserve">queries</t>
        </is>
      </c>
      <c r="D9" s="3" t="inlineStr">
        <is>
          <t xml:space="preserve">Automated volume, typically an order of magnitude above human volume.</t>
        </is>
      </c>
    </row>
    <row r="10">
      <c r="A10" s="0" t="inlineStr">
        <is>
          <t xml:space="preserve">Bytes scanned per query</t>
        </is>
      </c>
      <c r="B10" s="4">
        <v>0.8</v>
      </c>
      <c r="C10" s="0" t="inlineStr">
        <is>
          <t xml:space="preserve">GiB</t>
        </is>
      </c>
      <c r="D10" s="3" t="inlineStr">
        <is>
          <t xml:space="preserve">What one agent question actually reads off disk.</t>
        </is>
      </c>
    </row>
    <row r="11">
      <c r="A11" s="0" t="inlineStr">
        <is>
          <t xml:space="preserve">Read public tables</t>
        </is>
      </c>
      <c r="B11" s="0" t="inlineStr">
        <is>
          <t xml:space="preserve">Granted</t>
        </is>
      </c>
      <c r="C11" s="0" t="inlineStr">
        <is>
          <t xml:space="preserve"/>
        </is>
      </c>
      <c r="D11" s="3" t="inlineStr">
        <is>
          <t xml:space="preserve">Granted or Denied. Every granted row is inside the blast radius of one credential.</t>
        </is>
      </c>
    </row>
    <row r="12">
      <c r="A12" s="0" t="inlineStr">
        <is>
          <t xml:space="preserve">Read internal tables</t>
        </is>
      </c>
      <c r="B12" s="0" t="inlineStr">
        <is>
          <t xml:space="preserve">Granted</t>
        </is>
      </c>
      <c r="C12" s="0" t="inlineStr">
        <is>
          <t xml:space="preserve"/>
        </is>
      </c>
      <c r="D12" s="3" t="inlineStr">
        <is>
          <t xml:space="preserve">Granted or Denied. Every granted row is inside the blast radius of one credential.</t>
        </is>
      </c>
    </row>
    <row r="13">
      <c r="A13" s="0" t="inlineStr">
        <is>
          <t xml:space="preserve">Read tables containing personal data</t>
        </is>
      </c>
      <c r="B13" s="0" t="inlineStr">
        <is>
          <t xml:space="preserve">Granted</t>
        </is>
      </c>
      <c r="C13" s="0" t="inlineStr">
        <is>
          <t xml:space="preserve"/>
        </is>
      </c>
      <c r="D13" s="3" t="inlineStr">
        <is>
          <t xml:space="preserve">Granted or Denied. Every granted row is inside the blast radius of one credential.</t>
        </is>
      </c>
    </row>
    <row r="14">
      <c r="A14" s="0" t="inlineStr">
        <is>
          <t xml:space="preserve">Write to staging</t>
        </is>
      </c>
      <c r="B14" s="0" t="inlineStr">
        <is>
          <t xml:space="preserve">Granted</t>
        </is>
      </c>
      <c r="C14" s="0" t="inlineStr">
        <is>
          <t xml:space="preserve"/>
        </is>
      </c>
      <c r="D14" s="3" t="inlineStr">
        <is>
          <t xml:space="preserve">Granted or Denied. Every granted row is inside the blast radius of one credential.</t>
        </is>
      </c>
    </row>
    <row r="15">
      <c r="A15" s="0" t="inlineStr">
        <is>
          <t xml:space="preserve">Write to production</t>
        </is>
      </c>
      <c r="B15" s="0" t="inlineStr">
        <is>
          <t xml:space="preserve">Granted</t>
        </is>
      </c>
      <c r="C15" s="0" t="inlineStr">
        <is>
          <t xml:space="preserve"/>
        </is>
      </c>
      <c r="D15" s="3" t="inlineStr">
        <is>
          <t xml:space="preserve">Granted or Denied. Every granted row is inside the blast radius of one credential.</t>
        </is>
      </c>
    </row>
    <row r="17">
      <c r="A17" s="2" t="inlineStr">
        <is>
          <t xml:space="preserve">RATES AND CONSTANTS</t>
        </is>
      </c>
      <c r="E17" s="3" t="inlineStr">
        <is>
          <t xml:space="preserve">Published list prices link to the Rates sheet. Change a price there and every week that uses it follows.</t>
        </is>
      </c>
    </row>
    <row r="18">
      <c r="A18" s="8" t="inlineStr">
        <is>
          <t xml:space="preserve">Item</t>
        </is>
      </c>
      <c r="B18" s="8" t="inlineStr">
        <is>
          <t xml:space="preserve">Value</t>
        </is>
      </c>
      <c r="C18" s="8" t="inlineStr">
        <is>
          <t xml:space="preserve">Unit</t>
        </is>
      </c>
      <c r="D18" s="8" t="inlineStr">
        <is>
          <t xml:space="preserve">Source and note</t>
        </is>
      </c>
    </row>
    <row r="19">
      <c r="A19" s="0" t="inlineStr">
        <is>
          <t xml:space="preserve">GB per GiB</t>
        </is>
      </c>
      <c r="B19" s="4">
        <v>1.073741824</v>
      </c>
      <c r="C19" s="0" t="inlineStr">
        <is>
          <t xml:space="preserve">GB</t>
        </is>
      </c>
      <c r="D19" s="3" t="inlineStr">
        <is>
          <t xml:space="preserve">Scan volume is measured in GiB and billed in decimal TB.</t>
        </is>
      </c>
    </row>
    <row r="20">
      <c r="A20" s="0" t="inlineStr">
        <is>
          <t xml:space="preserve">GB per TB</t>
        </is>
      </c>
      <c r="B20" s="4">
        <v>1000</v>
      </c>
      <c r="C20" s="0" t="inlineStr">
        <is>
          <t xml:space="preserve">GB</t>
        </is>
      </c>
      <c r="D20" s="3" t="inlineStr">
        <is>
          <t xml:space="preserve"/>
        </is>
      </c>
    </row>
    <row r="21">
      <c r="A21" s="0" t="inlineStr">
        <is>
          <t xml:space="preserve">Days per year</t>
        </is>
      </c>
      <c r="B21" s="4">
        <v>365</v>
      </c>
      <c r="C21" s="0" t="inlineStr">
        <is>
          <t xml:space="preserve">days</t>
        </is>
      </c>
      <c r="D21" s="3" t="inlineStr">
        <is>
          <t xml:space="preserve"/>
        </is>
      </c>
    </row>
    <row r="22">
      <c r="A22" s="0" t="inlineStr">
        <is>
          <t xml:space="preserve">Volume multiple for the stress case</t>
        </is>
      </c>
      <c r="B22" s="4">
        <v>3</v>
      </c>
      <c r="C22" s="0" t="inlineStr">
        <is>
          <t xml:space="preserve">x</t>
        </is>
      </c>
      <c r="D22" s="3" t="inlineStr">
        <is>
          <t xml:space="preserve">Agents scale by configuration change, not by hiring.</t>
        </is>
      </c>
    </row>
    <row r="23">
      <c r="A23" s="0" t="inlineStr">
        <is>
          <t xml:space="preserve">Scan price</t>
        </is>
      </c>
      <c r="B23" s="6">
        <f>Rates!$C$14</f>
        <v>5</v>
      </c>
      <c r="C23" s="0" t="inlineStr">
        <is>
          <t xml:space="preserve">per TB scanned</t>
        </is>
      </c>
      <c r="D23" s="3" t="inlineStr">
        <is>
          <t xml:space="preserve">Amazon Web Services, Athena, SQL over data in S3. List price retrieved 2026-08-15. You pay for bytes the engine reads, not rows returned. Compression and partitioning cut this bill directly.</t>
        </is>
      </c>
    </row>
    <row r="25">
      <c r="A25" s="2" t="inlineStr">
        <is>
          <t xml:space="preserve">COMPUTED</t>
        </is>
      </c>
      <c r="E25" s="3" t="inlineStr">
        <is>
          <t xml:space="preserve">Each cell holds the formula shown in column D. Nothing here is typed in by hand.</t>
        </is>
      </c>
    </row>
    <row r="26">
      <c r="A26" s="8" t="inlineStr">
        <is>
          <t xml:space="preserve">Figure</t>
        </is>
      </c>
      <c r="B26" s="8" t="inlineStr">
        <is>
          <t xml:space="preserve">Value</t>
        </is>
      </c>
      <c r="C26" s="8" t="inlineStr">
        <is>
          <t xml:space="preserve">Unit</t>
        </is>
      </c>
      <c r="D26" s="8" t="inlineStr">
        <is>
          <t xml:space="preserve">Equation in words</t>
        </is>
      </c>
      <c r="E26" s="8" t="inlineStr">
        <is>
          <t xml:space="preserve">Note</t>
        </is>
      </c>
    </row>
    <row r="27">
      <c r="A27" s="0" t="inlineStr">
        <is>
          <t xml:space="preserve">Scopes granted</t>
        </is>
      </c>
      <c r="B27" s="4">
        <f>IF($B$11="Granted",1,0)+IF($B$12="Granted",1,0)+IF($B$13="Granted",1,0)+IF($B$14="Granted",1,0)+IF($B$15="Granted",1,0)</f>
        <v>5</v>
      </c>
      <c r="C27" s="0" t="inlineStr">
        <is>
          <t xml:space="preserve">of 5</t>
        </is>
      </c>
      <c r="D27" s="3" t="inlineStr">
        <is>
          <t xml:space="preserve">IF(Read public tables="Granted",1,0) + IF(Read internal tables="Granted",1,0) + IF(Read tables containing personal data="Granted",1,0) + IF(Write to staging="Granted",1,0) + IF(Write to production="Granted",1,0)</t>
        </is>
      </c>
      <c r="E27" s="3" t="inlineStr">
        <is>
          <t xml:space="preserve">Count of what one compromised credential reaches.</t>
        </is>
      </c>
    </row>
    <row r="28">
      <c r="A28" s="0" t="inlineStr">
        <is>
          <t xml:space="preserve">Credential exposure window</t>
        </is>
      </c>
      <c r="B28" s="4" t="str">
        <f>IF($B$6="Static API key","Unbounded",$B$7)</f>
        <v>Unbounded</v>
      </c>
      <c r="C28" s="0" t="inlineStr">
        <is>
          <t xml:space="preserve">minutes</t>
        </is>
      </c>
      <c r="D28" s="3" t="inlineStr">
        <is>
          <t xml:space="preserve">IF(Agent authentication method="Static API key","Unbounded",Credential lifetime)</t>
        </is>
      </c>
      <c r="E28" s="3" t="inlineStr">
        <is>
          <t xml:space="preserve">How long a stolen credential stays valid with nobody intervening. A static key never expires.</t>
        </is>
      </c>
    </row>
    <row r="29">
      <c r="A29" s="0" t="inlineStr">
        <is>
          <t xml:space="preserve">Cost of one agent query</t>
        </is>
      </c>
      <c r="B29" s="6">
        <f>$B$10*$B$19/$B$20*$B$23</f>
        <v>0.004294967296000001</v>
      </c>
      <c r="C29" s="0" t="inlineStr">
        <is>
          <t xml:space="preserve">USD</t>
        </is>
      </c>
      <c r="D29" s="3" t="inlineStr">
        <is>
          <t xml:space="preserve">Bytes scanned per query × GB per GiB ÷ GB per TB × Scan price</t>
        </is>
      </c>
      <c r="E29" s="3" t="inlineStr">
        <is>
          <t xml:space="preserve">An agent pays the same per-TB price a human does.</t>
        </is>
      </c>
    </row>
    <row r="30">
      <c r="A30" s="0" t="inlineStr">
        <is>
          <t xml:space="preserve">Cost of one agent, per day</t>
        </is>
      </c>
      <c r="B30" s="6">
        <f>$B$29*$B$9</f>
        <v>21.474836480000004</v>
      </c>
      <c r="C30" s="0" t="inlineStr">
        <is>
          <t xml:space="preserve">USD per day</t>
        </is>
      </c>
      <c r="D30" s="3" t="inlineStr">
        <is>
          <t xml:space="preserve">Cost of one agent query × Agent queries per day</t>
        </is>
      </c>
      <c r="E30" s="3" t="inlineStr">
        <is>
          <t xml:space="preserve">The daily run rate of an identity that never sleeps.</t>
        </is>
      </c>
    </row>
    <row r="31">
      <c r="A31" s="0" t="inlineStr">
        <is>
          <t xml:space="preserve">Agent read spend per year</t>
        </is>
      </c>
      <c r="B31" s="5">
        <f>$B$30*$B$21</f>
        <v>7838.315315200001</v>
      </c>
      <c r="C31" s="0" t="inlineStr">
        <is>
          <t xml:space="preserve">USD per year</t>
        </is>
      </c>
      <c r="D31" s="3" t="inlineStr">
        <is>
          <t xml:space="preserve">Cost of one agent, per day × Days per year</t>
        </is>
      </c>
      <c r="E31" s="3" t="inlineStr">
        <is>
          <t xml:space="preserve">Nobody complains about this bill because nobody is waiting on the result.</t>
        </is>
      </c>
    </row>
    <row r="32">
      <c r="A32" s="0" t="inlineStr">
        <is>
          <t xml:space="preserve">Spend if query volume triples</t>
        </is>
      </c>
      <c r="B32" s="5">
        <f>$B$31*$B$22</f>
        <v>23514.945945600004</v>
      </c>
      <c r="C32" s="0" t="inlineStr">
        <is>
          <t xml:space="preserve">USD per year</t>
        </is>
      </c>
      <c r="D32" s="3" t="inlineStr">
        <is>
          <t xml:space="preserve">Agent read spend per year × Volume multiple for the stress case</t>
        </is>
      </c>
      <c r="E32" s="3" t="inlineStr">
        <is>
          <t xml:space="preserve">Budget for the configuration change.</t>
        </is>
      </c>
    </row>
  </sheetData>
</worksheet>
</file>

<file path=xl/worksheets/sheet14.xml><?xml version="1.0" encoding="utf-8"?>
<worksheet xmlns="http://schemas.openxmlformats.org/spreadsheetml/2006/main">
  <sheetViews>
    <sheetView workbookViewId="0">
      <pane ySplit="1" topLeftCell="A2" activePane="bottomLeft" state="frozen"/>
    </sheetView>
  </sheetViews>
  <cols>
    <col min="1" max="1" width="26" customWidth="1"/>
    <col min="2" max="2" width="58" customWidth="1"/>
    <col min="3" max="3" width="16" customWidth="1"/>
    <col min="4" max="4" width="24" customWidth="1"/>
    <col min="5" max="5" width="14" customWidth="1"/>
    <col min="6" max="6" width="44" customWidth="1"/>
    <col min="7" max="7" width="86" customWidth="1"/>
  </cols>
  <sheetData>
    <row r="1">
      <c r="A1" s="1" t="inlineStr">
        <is>
          <t xml:space="preserve">Published list prices</t>
        </is>
      </c>
    </row>
    <row r="2">
      <c r="A2" s="3" t="inlineStr">
        <is>
          <t xml:space="preserve">Every figure is a US-region, on-demand, list price with no negotiated discount applied. Change a price here and every week sheet that uses it recalculates. You are still required to retrieve and date your own prices.</t>
        </is>
      </c>
    </row>
    <row r="4">
      <c r="A4" s="2" t="inlineStr">
        <is>
          <t xml:space="preserve">Key</t>
        </is>
      </c>
      <c r="B4" s="2" t="inlineStr">
        <is>
          <t xml:space="preserve">Vendor</t>
        </is>
      </c>
      <c r="C4" s="2" t="inlineStr">
        <is>
          <t xml:space="preserve">Unit price, USD</t>
        </is>
      </c>
      <c r="D4" s="2" t="inlineStr">
        <is>
          <t xml:space="preserve">Unit</t>
        </is>
      </c>
      <c r="E4" s="2" t="inlineStr">
        <is>
          <t xml:space="preserve">Retrieved</t>
        </is>
      </c>
      <c r="F4" s="2" t="inlineStr">
        <is>
          <t xml:space="preserve">Source</t>
        </is>
      </c>
      <c r="G4" s="2" t="inlineStr">
        <is>
          <t xml:space="preserve">Note</t>
        </is>
      </c>
    </row>
    <row r="5">
      <c r="A5" s="0" t="inlineStr">
        <is>
          <t xml:space="preserve">objectStorageStandard</t>
        </is>
      </c>
      <c r="B5" s="0" t="inlineStr">
        <is>
          <t xml:space="preserve">Amazon Web Services, S3 Standard, first 50 TB per month, us-east-1</t>
        </is>
      </c>
      <c r="C5" s="6">
        <v>0.023</v>
      </c>
      <c r="D5" s="0" t="inlineStr">
        <is>
          <t xml:space="preserve">per GB-month</t>
        </is>
      </c>
      <c r="E5" s="0" t="inlineStr">
        <is>
          <t xml:space="preserve">2026-08-15</t>
        </is>
      </c>
      <c r="F5" s="0" t="inlineStr">
        <is>
          <t xml:space="preserve">https://aws.amazon.com/s3/pricing/</t>
        </is>
      </c>
      <c r="G5" s="3" t="inlineStr">
        <is>
          <t xml:space="preserve">The default landing tier for a lakehouse. Billed on average bytes stored across the month, not peak.</t>
        </is>
      </c>
    </row>
    <row r="6">
      <c r="A6" s="0" t="inlineStr">
        <is>
          <t xml:space="preserve">objectStorageInfrequent</t>
        </is>
      </c>
      <c r="B6" s="0" t="inlineStr">
        <is>
          <t xml:space="preserve">Amazon Web Services, S3 Standard-Infrequent Access, us-east-1</t>
        </is>
      </c>
      <c r="C6" s="6">
        <v>0.0125</v>
      </c>
      <c r="D6" s="0" t="inlineStr">
        <is>
          <t xml:space="preserve">per GB-month</t>
        </is>
      </c>
      <c r="E6" s="0" t="inlineStr">
        <is>
          <t xml:space="preserve">2026-08-15</t>
        </is>
      </c>
      <c r="F6" s="0" t="inlineStr">
        <is>
          <t xml:space="preserve">https://aws.amazon.com/s3/pricing/</t>
        </is>
      </c>
      <c r="G6" s="3" t="inlineStr">
        <is>
          <t xml:space="preserve">Roughly half the storage rate, but retrieval is charged per GB read. Cheap only if you rarely read it.</t>
        </is>
      </c>
    </row>
    <row r="7">
      <c r="A7" s="0" t="inlineStr">
        <is>
          <t xml:space="preserve">objectStorageArchive</t>
        </is>
      </c>
      <c r="B7" s="0" t="inlineStr">
        <is>
          <t xml:space="preserve">Amazon Web Services, S3 Glacier Instant Retrieval, us-east-1</t>
        </is>
      </c>
      <c r="C7" s="6">
        <v>0.004</v>
      </c>
      <c r="D7" s="0" t="inlineStr">
        <is>
          <t xml:space="preserve">per GB-month</t>
        </is>
      </c>
      <c r="E7" s="0" t="inlineStr">
        <is>
          <t xml:space="preserve">2026-08-15</t>
        </is>
      </c>
      <c r="F7" s="0" t="inlineStr">
        <is>
          <t xml:space="preserve">https://aws.amazon.com/s3/pricing/</t>
        </is>
      </c>
      <c r="G7" s="3" t="inlineStr">
        <is>
          <t xml:space="preserve">About one sixth of Standard, with a 90-day minimum storage duration and a per-GB retrieval charge.</t>
        </is>
      </c>
    </row>
    <row r="8">
      <c r="A8" s="0" t="inlineStr">
        <is>
          <t xml:space="preserve">objectStorageDeepArchive</t>
        </is>
      </c>
      <c r="B8" s="0" t="inlineStr">
        <is>
          <t xml:space="preserve">Amazon Web Services, S3 Glacier Deep Archive, us-east-1</t>
        </is>
      </c>
      <c r="C8" s="6">
        <v>0.00099</v>
      </c>
      <c r="D8" s="0" t="inlineStr">
        <is>
          <t xml:space="preserve">per GB-month</t>
        </is>
      </c>
      <c r="E8" s="0" t="inlineStr">
        <is>
          <t xml:space="preserve">2026-08-15</t>
        </is>
      </c>
      <c r="F8" s="0" t="inlineStr">
        <is>
          <t xml:space="preserve">https://aws.amazon.com/s3/pricing/</t>
        </is>
      </c>
      <c r="G8" s="3" t="inlineStr">
        <is>
          <t xml:space="preserve">Around 4 percent of Standard, with a 180-day minimum and retrieval measured in hours, not milliseconds.</t>
        </is>
      </c>
    </row>
    <row r="9">
      <c r="A9" s="0" t="inlineStr">
        <is>
          <t xml:space="preserve">warehouseStorage</t>
        </is>
      </c>
      <c r="B9" s="0" t="inlineStr">
        <is>
          <t xml:space="preserve">Snowflake, On-demand storage, US East</t>
        </is>
      </c>
      <c r="C9" s="6">
        <v>23</v>
      </c>
      <c r="D9" s="0" t="inlineStr">
        <is>
          <t xml:space="preserve">per TB-month</t>
        </is>
      </c>
      <c r="E9" s="0" t="inlineStr">
        <is>
          <t xml:space="preserve">2026-08-15</t>
        </is>
      </c>
      <c r="F9" s="0" t="inlineStr">
        <is>
          <t xml:space="preserve">https://www.snowflake.com/en/data-cloud/pricing-options/</t>
        </is>
      </c>
      <c r="G9" s="3" t="inlineStr">
        <is>
          <t xml:space="preserve">Warehouse-managed storage. Compare against $23.55 per TB-month for the same bytes on S3 Standard.</t>
        </is>
      </c>
    </row>
    <row r="10">
      <c r="A10" s="0" t="inlineStr">
        <is>
          <t xml:space="preserve">putRequests</t>
        </is>
      </c>
      <c r="B10" s="0" t="inlineStr">
        <is>
          <t xml:space="preserve">Amazon Web Services, S3 PUT, COPY, POST, LIST requests, us-east-1</t>
        </is>
      </c>
      <c r="C10" s="6">
        <v>0.005</v>
      </c>
      <c r="D10" s="0" t="inlineStr">
        <is>
          <t xml:space="preserve">per 1,000 requests</t>
        </is>
      </c>
      <c r="E10" s="0" t="inlineStr">
        <is>
          <t xml:space="preserve">2026-08-15</t>
        </is>
      </c>
      <c r="F10" s="0" t="inlineStr">
        <is>
          <t xml:space="preserve">https://aws.amazon.com/s3/pricing/</t>
        </is>
      </c>
      <c r="G10" s="3" t="inlineStr">
        <is>
          <t xml:space="preserve">The reason small files are expensive. A million 1 MB files cost 200x the request charge of a thousand 1 GB files.</t>
        </is>
      </c>
    </row>
    <row r="11">
      <c r="A11" s="0" t="inlineStr">
        <is>
          <t xml:space="preserve">getRequests</t>
        </is>
      </c>
      <c r="B11" s="0" t="inlineStr">
        <is>
          <t xml:space="preserve">Amazon Web Services, S3 GET and SELECT requests, us-east-1</t>
        </is>
      </c>
      <c r="C11" s="6">
        <v>0.0004</v>
      </c>
      <c r="D11" s="0" t="inlineStr">
        <is>
          <t xml:space="preserve">per 1,000 requests</t>
        </is>
      </c>
      <c r="E11" s="0" t="inlineStr">
        <is>
          <t xml:space="preserve">2026-08-15</t>
        </is>
      </c>
      <c r="F11" s="0" t="inlineStr">
        <is>
          <t xml:space="preserve">https://aws.amazon.com/s3/pricing/</t>
        </is>
      </c>
      <c r="G11" s="3" t="inlineStr">
        <is>
          <t xml:space="preserve">Each file a query opens is at least one GET. File layout is therefore a cost decision, not only a speed one.</t>
        </is>
      </c>
    </row>
    <row r="12">
      <c r="A12" s="0" t="inlineStr">
        <is>
          <t xml:space="preserve">computeSingleNode</t>
        </is>
      </c>
      <c r="B12" s="0" t="inlineStr">
        <is>
          <t xml:space="preserve">Amazon Web Services, EC2 r5.16xlarge on-demand, 64 vCPU and 512 GiB RAM, us-east-1, Linux</t>
        </is>
      </c>
      <c r="C12" s="6">
        <v>4.032</v>
      </c>
      <c r="D12" s="0" t="inlineStr">
        <is>
          <t xml:space="preserve">per node-hour</t>
        </is>
      </c>
      <c r="E12" s="0" t="inlineStr">
        <is>
          <t xml:space="preserve">2026-08-15</t>
        </is>
      </c>
      <c r="F12" s="0" t="inlineStr">
        <is>
          <t xml:space="preserve">https://aws.amazon.com/ec2/pricing/on-demand/</t>
        </is>
      </c>
      <c r="G12" s="3" t="inlineStr">
        <is>
          <t xml:space="preserve">The single-node ceiling used throughout Week 1. 512 GiB of RAM in one machine, one address space, no network hop.</t>
        </is>
      </c>
    </row>
    <row r="13">
      <c r="A13" s="0" t="inlineStr">
        <is>
          <t xml:space="preserve">computeWorkerNode</t>
        </is>
      </c>
      <c r="B13" s="0" t="inlineStr">
        <is>
          <t xml:space="preserve">Amazon Web Services, EC2 r5.4xlarge on-demand, 16 vCPU and 128 GiB RAM, us-east-1, Linux</t>
        </is>
      </c>
      <c r="C13" s="6">
        <v>1.008</v>
      </c>
      <c r="D13" s="0" t="inlineStr">
        <is>
          <t xml:space="preserve">per node-hour</t>
        </is>
      </c>
      <c r="E13" s="0" t="inlineStr">
        <is>
          <t xml:space="preserve">2026-08-15</t>
        </is>
      </c>
      <c r="F13" s="0" t="inlineStr">
        <is>
          <t xml:space="preserve">https://aws.amazon.com/ec2/pricing/on-demand/</t>
        </is>
      </c>
      <c r="G13" s="3" t="inlineStr">
        <is>
          <t xml:space="preserve">One worker in a distributed cluster. Exactly one quarter the RAM and one quarter the price of the single node above.</t>
        </is>
      </c>
    </row>
    <row r="14">
      <c r="A14" s="0" t="inlineStr">
        <is>
          <t xml:space="preserve">scanPerTb</t>
        </is>
      </c>
      <c r="B14" s="0" t="inlineStr">
        <is>
          <t xml:space="preserve">Amazon Web Services, Athena, SQL over data in S3</t>
        </is>
      </c>
      <c r="C14" s="6">
        <v>5</v>
      </c>
      <c r="D14" s="0" t="inlineStr">
        <is>
          <t xml:space="preserve">per TB scanned</t>
        </is>
      </c>
      <c r="E14" s="0" t="inlineStr">
        <is>
          <t xml:space="preserve">2026-08-15</t>
        </is>
      </c>
      <c r="F14" s="0" t="inlineStr">
        <is>
          <t xml:space="preserve">https://aws.amazon.com/athena/pricing/</t>
        </is>
      </c>
      <c r="G14" s="3" t="inlineStr">
        <is>
          <t xml:space="preserve">You pay for bytes the engine reads, not rows returned. Compression and partitioning cut this bill directly.</t>
        </is>
      </c>
    </row>
    <row r="15">
      <c r="A15" s="0" t="inlineStr">
        <is>
          <t xml:space="preserve">scanPerTib</t>
        </is>
      </c>
      <c r="B15" s="0" t="inlineStr">
        <is>
          <t xml:space="preserve">Google Cloud, BigQuery on-demand analysis, first 1 TiB per month free</t>
        </is>
      </c>
      <c r="C15" s="6">
        <v>6.25</v>
      </c>
      <c r="D15" s="0" t="inlineStr">
        <is>
          <t xml:space="preserve">per TiB scanned</t>
        </is>
      </c>
      <c r="E15" s="0" t="inlineStr">
        <is>
          <t xml:space="preserve">2026-08-15</t>
        </is>
      </c>
      <c r="F15" s="0" t="inlineStr">
        <is>
          <t xml:space="preserve">https://cloud.google.com/bigquery/pricing</t>
        </is>
      </c>
      <c r="G15" s="3" t="inlineStr">
        <is>
          <t xml:space="preserve">Priced per TiB (1,024^4 bytes), not per TB (1,000^4). The two differ by about 10 percent, which matters at scale.</t>
        </is>
      </c>
    </row>
    <row r="16">
      <c r="A16" s="0" t="inlineStr">
        <is>
          <t xml:space="preserve">slotHour</t>
        </is>
      </c>
      <c r="B16" s="0" t="inlineStr">
        <is>
          <t xml:space="preserve">Google Cloud, BigQuery Standard edition capacity</t>
        </is>
      </c>
      <c r="C16" s="6">
        <v>0.04</v>
      </c>
      <c r="D16" s="0" t="inlineStr">
        <is>
          <t xml:space="preserve">per slot-hour</t>
        </is>
      </c>
      <c r="E16" s="0" t="inlineStr">
        <is>
          <t xml:space="preserve">2026-08-15</t>
        </is>
      </c>
      <c r="F16" s="0" t="inlineStr">
        <is>
          <t xml:space="preserve">https://cloud.google.com/bigquery/pricing</t>
        </is>
      </c>
      <c r="G16" s="3" t="inlineStr">
        <is>
          <t xml:space="preserve">Capacity pricing. You rent parallelism by the hour instead of paying per byte scanned.</t>
        </is>
      </c>
    </row>
    <row r="17">
      <c r="A17" s="0" t="inlineStr">
        <is>
          <t xml:space="preserve">warehouseCredit</t>
        </is>
      </c>
      <c r="B17" s="0" t="inlineStr">
        <is>
          <t xml:space="preserve">Snowflake, Standard edition compute credit, AWS US East</t>
        </is>
      </c>
      <c r="C17" s="6">
        <v>2</v>
      </c>
      <c r="D17" s="0" t="inlineStr">
        <is>
          <t xml:space="preserve">per credit</t>
        </is>
      </c>
      <c r="E17" s="0" t="inlineStr">
        <is>
          <t xml:space="preserve">2026-08-15</t>
        </is>
      </c>
      <c r="F17" s="0" t="inlineStr">
        <is>
          <t xml:space="preserve">https://www.snowflake.com/en/data-cloud/pricing-options/</t>
        </is>
      </c>
      <c r="G17" s="3" t="inlineStr">
        <is>
          <t xml:space="preserve">An XS warehouse burns 1 credit per hour; each size up doubles the burn. Enterprise is $3.00 and Business Critical $4.00.</t>
        </is>
      </c>
    </row>
    <row r="18">
      <c r="A18" s="0" t="inlineStr">
        <is>
          <t xml:space="preserve">databricksJobsDbu</t>
        </is>
      </c>
      <c r="B18" s="0" t="inlineStr">
        <is>
          <t xml:space="preserve">Databricks, Jobs Compute, Premium tier on AWS</t>
        </is>
      </c>
      <c r="C18" s="6">
        <v>0.15</v>
      </c>
      <c r="D18" s="0" t="inlineStr">
        <is>
          <t xml:space="preserve">per DBU</t>
        </is>
      </c>
      <c r="E18" s="0" t="inlineStr">
        <is>
          <t xml:space="preserve">2026-08-15</t>
        </is>
      </c>
      <c r="F18" s="0" t="inlineStr">
        <is>
          <t xml:space="preserve">https://www.databricks.com/product/pricing</t>
        </is>
      </c>
      <c r="G18" s="3" t="inlineStr">
        <is>
          <t xml:space="preserve">Excludes the underlying EC2 charge, which you also pay. The platform fee is not the whole bill.</t>
        </is>
      </c>
    </row>
    <row r="19">
      <c r="A19" s="0" t="inlineStr">
        <is>
          <t xml:space="preserve">databricksAllPurposeDbu</t>
        </is>
      </c>
      <c r="B19" s="0" t="inlineStr">
        <is>
          <t xml:space="preserve">Databricks, All-Purpose Compute, Premium tier on AWS</t>
        </is>
      </c>
      <c r="C19" s="6">
        <v>0.55</v>
      </c>
      <c r="D19" s="0" t="inlineStr">
        <is>
          <t xml:space="preserve">per DBU</t>
        </is>
      </c>
      <c r="E19" s="0" t="inlineStr">
        <is>
          <t xml:space="preserve">2026-08-15</t>
        </is>
      </c>
      <c r="F19" s="0" t="inlineStr">
        <is>
          <t xml:space="preserve">https://www.databricks.com/product/pricing</t>
        </is>
      </c>
      <c r="G19" s="3" t="inlineStr">
        <is>
          <t xml:space="preserve">Interactive notebooks cost about 3.7x the same work run as a scheduled job. Same compute, different SKU.</t>
        </is>
      </c>
    </row>
    <row r="20">
      <c r="A20" s="0" t="inlineStr">
        <is>
          <t xml:space="preserve">egressInternet</t>
        </is>
      </c>
      <c r="B20" s="0" t="inlineStr">
        <is>
          <t xml:space="preserve">Amazon Web Services, Data transfer out to the internet, beyond the first 100 GB per month</t>
        </is>
      </c>
      <c r="C20" s="6">
        <v>0.09</v>
      </c>
      <c r="D20" s="0" t="inlineStr">
        <is>
          <t xml:space="preserve">per GB</t>
        </is>
      </c>
      <c r="E20" s="0" t="inlineStr">
        <is>
          <t xml:space="preserve">2026-08-15</t>
        </is>
      </c>
      <c r="F20" s="0" t="inlineStr">
        <is>
          <t xml:space="preserve">https://aws.amazon.com/ec2/pricing/on-demand/</t>
        </is>
      </c>
      <c r="G20" s="3" t="inlineStr">
        <is>
          <t xml:space="preserve">Roughly 4x the monthly cost of storing the same byte. Egress is what makes leaving a cloud expensive.</t>
        </is>
      </c>
    </row>
    <row r="21">
      <c r="A21" s="0" t="inlineStr">
        <is>
          <t xml:space="preserve">egressCrossAz</t>
        </is>
      </c>
      <c r="B21" s="0" t="inlineStr">
        <is>
          <t xml:space="preserve">Amazon Web Services, Data transfer between availability zones, each direction</t>
        </is>
      </c>
      <c r="C21" s="6">
        <v>0.01</v>
      </c>
      <c r="D21" s="0" t="inlineStr">
        <is>
          <t xml:space="preserve">per GB</t>
        </is>
      </c>
      <c r="E21" s="0" t="inlineStr">
        <is>
          <t xml:space="preserve">2026-08-15</t>
        </is>
      </c>
      <c r="F21" s="0" t="inlineStr">
        <is>
          <t xml:space="preserve">https://aws.amazon.com/ec2/pricing/on-demand/</t>
        </is>
      </c>
      <c r="G21" s="3" t="inlineStr">
        <is>
          <t xml:space="preserve">The hidden tax on a distributed shuffle. Every byte a worker sends to another worker across a zone is billed twice.</t>
        </is>
      </c>
    </row>
    <row r="22">
      <c r="A22" s="0" t="inlineStr">
        <is>
          <t xml:space="preserve">catalogObjects</t>
        </is>
      </c>
      <c r="B22" s="0" t="inlineStr">
        <is>
          <t xml:space="preserve">Amazon Web Services, AWS Glue Data Catalog storage, beyond the first 1,000,000 objects</t>
        </is>
      </c>
      <c r="C22" s="6">
        <v>1</v>
      </c>
      <c r="D22" s="0" t="inlineStr">
        <is>
          <t xml:space="preserve">per 100,000 objects per month</t>
        </is>
      </c>
      <c r="E22" s="0" t="inlineStr">
        <is>
          <t xml:space="preserve">2026-08-15</t>
        </is>
      </c>
      <c r="F22" s="0" t="inlineStr">
        <is>
          <t xml:space="preserve">https://aws.amazon.com/glue/pricing/</t>
        </is>
      </c>
      <c r="G22" s="3" t="inlineStr">
        <is>
          <t xml:space="preserve">An object is a table, partition, or database. Partition count, not table count, is what usually blows past the free tier.</t>
        </is>
      </c>
    </row>
    <row r="23">
      <c r="A23" s="0" t="inlineStr">
        <is>
          <t xml:space="preserve">catalogRequests</t>
        </is>
      </c>
      <c r="B23" s="0" t="inlineStr">
        <is>
          <t xml:space="preserve">Amazon Web Services, AWS Glue Data Catalog requests, beyond the first 1,000,000 per month</t>
        </is>
      </c>
      <c r="C23" s="6">
        <v>1</v>
      </c>
      <c r="D23" s="0" t="inlineStr">
        <is>
          <t xml:space="preserve">per 1,000,000 requests</t>
        </is>
      </c>
      <c r="E23" s="0" t="inlineStr">
        <is>
          <t xml:space="preserve">2026-08-15</t>
        </is>
      </c>
      <c r="F23" s="0" t="inlineStr">
        <is>
          <t xml:space="preserve">https://aws.amazon.com/glue/pricing/</t>
        </is>
      </c>
      <c r="G23" s="3" t="inlineStr">
        <is>
          <t xml:space="preserve">Every query plan hits the catalog several times. Catalog requests scale with query count, not data volume.</t>
        </is>
      </c>
    </row>
    <row r="24">
      <c r="A24" s="0" t="inlineStr">
        <is>
          <t xml:space="preserve">embeddingTokens</t>
        </is>
      </c>
      <c r="B24" s="0" t="inlineStr">
        <is>
          <t xml:space="preserve">Amazon Web Services, Bedrock Titan Text Embeddings V2, on-demand</t>
        </is>
      </c>
      <c r="C24" s="6">
        <v>0.02</v>
      </c>
      <c r="D24" s="0" t="inlineStr">
        <is>
          <t xml:space="preserve">per 1,000,000 tokens</t>
        </is>
      </c>
      <c r="E24" s="0" t="inlineStr">
        <is>
          <t xml:space="preserve">2026-08-15</t>
        </is>
      </c>
      <c r="F24" s="0" t="inlineStr">
        <is>
          <t xml:space="preserve">https://aws.amazon.com/bedrock/pricing/</t>
        </is>
      </c>
      <c r="G24" s="3" t="inlineStr">
        <is>
          <t xml:space="preserve">Charged once per chunk at index time, and again for every chunk you reindex. Reindex frequency is an embedding bill.</t>
        </is>
      </c>
    </row>
    <row r="25">
      <c r="A25" s="0" t="inlineStr">
        <is>
          <t xml:space="preserve">generationInputTokens</t>
        </is>
      </c>
      <c r="B25" s="0" t="inlineStr">
        <is>
          <t xml:space="preserve">Anthropic, Claude Haiku 4.5, input tokens</t>
        </is>
      </c>
      <c r="C25" s="6">
        <v>1</v>
      </c>
      <c r="D25" s="0" t="inlineStr">
        <is>
          <t xml:space="preserve">per 1,000,000 tokens</t>
        </is>
      </c>
      <c r="E25" s="0" t="inlineStr">
        <is>
          <t xml:space="preserve">2026-08-15</t>
        </is>
      </c>
      <c r="F25" s="0" t="inlineStr">
        <is>
          <t xml:space="preserve">https://claude.com/pricing</t>
        </is>
      </c>
      <c r="G25" s="3" t="inlineStr">
        <is>
          <t xml:space="preserve">Retrieved chunks are input tokens. A RAG answer that stuffs 20 chunks into context pays for all 20 every time.</t>
        </is>
      </c>
    </row>
    <row r="26">
      <c r="A26" s="0" t="inlineStr">
        <is>
          <t xml:space="preserve">generationOutputTokens</t>
        </is>
      </c>
      <c r="B26" s="0" t="inlineStr">
        <is>
          <t xml:space="preserve">Anthropic, Claude Haiku 4.5, output tokens</t>
        </is>
      </c>
      <c r="C26" s="6">
        <v>5</v>
      </c>
      <c r="D26" s="0" t="inlineStr">
        <is>
          <t xml:space="preserve">per 1,000,000 tokens</t>
        </is>
      </c>
      <c r="E26" s="0" t="inlineStr">
        <is>
          <t xml:space="preserve">2026-08-15</t>
        </is>
      </c>
      <c r="F26" s="0" t="inlineStr">
        <is>
          <t xml:space="preserve">https://claude.com/pricing</t>
        </is>
      </c>
      <c r="G26" s="3" t="inlineStr">
        <is>
          <t xml:space="preserve">Output costs 5x input on this model. Batch processing halves both; prompt caching cuts repeated input by roughly 90 percent.</t>
        </is>
      </c>
    </row>
  </sheetData>
</worksheet>
</file>